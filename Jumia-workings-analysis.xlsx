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drawings/drawing12.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USER\Desktop\Data analytics\"/>
    </mc:Choice>
  </mc:AlternateContent>
  <xr:revisionPtr revIDLastSave="0" documentId="13_ncr:1_{820A1181-E98C-4B77-9357-38412E0072A6}" xr6:coauthVersionLast="41" xr6:coauthVersionMax="41" xr10:uidLastSave="{00000000-0000-0000-0000-000000000000}"/>
  <bookViews>
    <workbookView xWindow="20370" yWindow="-120" windowWidth="29040" windowHeight="17520" tabRatio="958" firstSheet="5" activeTab="14" xr2:uid="{00000000-000D-0000-FFFF-FFFF00000000}"/>
  </bookViews>
  <sheets>
    <sheet name="Average" sheetId="10" r:id="rId1"/>
    <sheet name="Av rating &amp; disc by disc categr" sheetId="12" r:id="rId2"/>
    <sheet name="Product distribution" sheetId="13" r:id="rId3"/>
    <sheet name="disc pct &amp; no. of reviews" sheetId="14" r:id="rId4"/>
    <sheet name="Rating &amp; no. of reviews" sheetId="15" r:id="rId5"/>
    <sheet name="higher disc lead to increased" sheetId="16" r:id="rId6"/>
    <sheet name="Higher rated products tend to h" sheetId="17" r:id="rId7"/>
    <sheet name="By rating" sheetId="18" r:id="rId8"/>
    <sheet name="By no. of reviews" sheetId="20" r:id="rId9"/>
    <sheet name="By discount percentage" sheetId="21" r:id="rId10"/>
    <sheet name="By rating category" sheetId="24" r:id="rId11"/>
    <sheet name="By discount category" sheetId="25" r:id="rId12"/>
    <sheet name="Sheet26" sheetId="27" r:id="rId13"/>
    <sheet name="Excel_jumia" sheetId="1" r:id="rId14"/>
    <sheet name="Dashboard" sheetId="19" r:id="rId15"/>
  </sheets>
  <definedNames>
    <definedName name="_xlnm._FilterDatabase" localSheetId="13" hidden="1">Excel_jumia!$A$1:$F$110</definedName>
    <definedName name="Slicer_Current_price_range">#N/A</definedName>
    <definedName name="Slicer_Discount_Category">#N/A</definedName>
    <definedName name="Slicer_Rating_Category">#N/A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2" i="1"/>
  <c r="I39" i="1"/>
  <c r="I67" i="1"/>
  <c r="I79" i="1"/>
  <c r="I14" i="1"/>
  <c r="I10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2" i="1"/>
  <c r="I59" i="1"/>
  <c r="I37" i="1"/>
  <c r="I23" i="1" l="1"/>
  <c r="I15" i="1"/>
  <c r="I89" i="1"/>
  <c r="I85" i="1"/>
  <c r="I73" i="1"/>
  <c r="I69" i="1"/>
  <c r="I104" i="1"/>
  <c r="I92" i="1"/>
  <c r="I56" i="1"/>
  <c r="I51" i="1"/>
  <c r="I33" i="1"/>
  <c r="I68" i="1"/>
  <c r="I46" i="1"/>
  <c r="I43" i="1"/>
  <c r="I48" i="1"/>
  <c r="I60" i="1"/>
  <c r="I35" i="1"/>
  <c r="I40" i="1"/>
  <c r="I99" i="1"/>
  <c r="I28" i="1"/>
  <c r="I38" i="1"/>
  <c r="I94" i="1"/>
  <c r="I65" i="1"/>
  <c r="I17" i="1"/>
  <c r="I11" i="1"/>
  <c r="I36" i="1"/>
  <c r="I9" i="1"/>
  <c r="I22" i="1"/>
  <c r="I44" i="1"/>
  <c r="I50" i="1"/>
  <c r="I31" i="1"/>
  <c r="I103" i="1"/>
  <c r="I86" i="1"/>
  <c r="I53" i="1"/>
  <c r="I91" i="1"/>
  <c r="I16" i="1"/>
  <c r="I6" i="1"/>
  <c r="I5" i="1"/>
  <c r="I42" i="1"/>
  <c r="I3" i="1"/>
  <c r="I63" i="1"/>
  <c r="I20" i="1"/>
  <c r="I58" i="1"/>
  <c r="I109" i="1"/>
  <c r="I96" i="1"/>
  <c r="I52" i="1"/>
  <c r="I34" i="1"/>
  <c r="I83" i="1"/>
  <c r="I87" i="1"/>
  <c r="I21" i="1"/>
  <c r="I110" i="1"/>
  <c r="I18" i="1"/>
  <c r="I66" i="1"/>
  <c r="I27" i="1"/>
  <c r="I101" i="1"/>
  <c r="I90" i="1"/>
  <c r="I49" i="1"/>
  <c r="I45" i="1"/>
  <c r="I2" i="1"/>
  <c r="I29" i="1"/>
  <c r="I62" i="1"/>
  <c r="I95" i="1"/>
  <c r="I75" i="1"/>
  <c r="I77" i="1"/>
  <c r="I82" i="1"/>
  <c r="I10" i="1"/>
  <c r="I93" i="1"/>
  <c r="I108" i="1"/>
  <c r="I76" i="1"/>
  <c r="I64" i="1"/>
  <c r="I24" i="1"/>
  <c r="I8" i="1"/>
  <c r="I80" i="1"/>
  <c r="I102" i="1"/>
  <c r="I98" i="1"/>
  <c r="I78" i="1"/>
  <c r="I57" i="1"/>
  <c r="I81" i="1"/>
  <c r="I97" i="1"/>
  <c r="I30" i="1"/>
  <c r="I61" i="1"/>
  <c r="I26" i="1"/>
  <c r="I70" i="1"/>
  <c r="I13" i="1"/>
  <c r="I107" i="1"/>
  <c r="I88" i="1"/>
  <c r="I72" i="1"/>
  <c r="I47" i="1"/>
  <c r="I19" i="1"/>
  <c r="I7" i="1"/>
  <c r="I105" i="1"/>
  <c r="I41" i="1"/>
  <c r="I25" i="1"/>
  <c r="I54" i="1"/>
  <c r="I74" i="1"/>
  <c r="I100" i="1"/>
  <c r="I84" i="1"/>
  <c r="I71" i="1"/>
  <c r="I55" i="1"/>
  <c r="I32" i="1"/>
  <c r="I12" i="1"/>
  <c r="I4" i="1"/>
</calcChain>
</file>

<file path=xl/sharedStrings.xml><?xml version="1.0" encoding="utf-8"?>
<sst xmlns="http://schemas.openxmlformats.org/spreadsheetml/2006/main" count="304" uniqueCount="157">
  <si>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</si>
  <si>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</si>
  <si>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</si>
  <si>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</si>
  <si>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</si>
  <si>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</si>
  <si>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</si>
  <si>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</si>
  <si>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</si>
  <si>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</si>
  <si>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</si>
  <si>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</si>
  <si>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</si>
  <si>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</si>
  <si>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</si>
  <si>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</si>
  <si>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</si>
  <si>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</si>
  <si>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</si>
  <si>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</si>
  <si>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</si>
  <si>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</si>
  <si>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</si>
  <si>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</si>
  <si>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</si>
  <si>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</si>
  <si>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</si>
  <si>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</si>
  <si>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</si>
  <si>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</si>
  <si>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</si>
  <si>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</si>
  <si>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</si>
  <si>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</si>
  <si>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</si>
  <si>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</si>
  <si>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</si>
  <si>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</si>
  <si>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</si>
  <si>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</si>
  <si>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</si>
  <si>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</si>
  <si>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</si>
  <si>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</si>
  <si>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</si>
  <si>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</si>
  <si>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</si>
  <si>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</si>
  <si>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</si>
  <si>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</si>
  <si>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</si>
  <si>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</si>
  <si>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</si>
  <si>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</si>
  <si>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</si>
  <si>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</si>
  <si>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</si>
  <si>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</si>
  <si>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</si>
  <si>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</si>
  <si>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</si>
  <si>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</si>
  <si>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</si>
  <si>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</si>
  <si>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</si>
  <si>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</si>
  <si>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</si>
  <si>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</si>
  <si>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</si>
  <si>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</si>
  <si>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</si>
  <si>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</si>
  <si>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</si>
  <si>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</si>
  <si>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</si>
  <si>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</si>
  <si>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</si>
  <si>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</si>
  <si>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</si>
  <si>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</si>
  <si>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</si>
  <si>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</si>
  <si>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</si>
  <si>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</si>
  <si>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</si>
  <si>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</si>
  <si>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</si>
  <si>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</si>
  <si>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</si>
  <si>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</si>
  <si>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</si>
  <si>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</si>
  <si>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</si>
  <si>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</si>
  <si>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</si>
  <si>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</si>
  <si>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</si>
  <si>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</si>
  <si>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</si>
  <si>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</si>
  <si>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</si>
  <si>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</si>
  <si>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</si>
  <si>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</si>
  <si>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</si>
  <si>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</si>
  <si>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</si>
  <si>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</si>
  <si>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</si>
  <si>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</si>
  <si>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</si>
  <si>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</si>
  <si>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</si>
  <si>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</si>
  <si>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Not Provided</t>
  </si>
  <si>
    <t>Discount Amount (KSh)</t>
  </si>
  <si>
    <t>Rating Category</t>
  </si>
  <si>
    <t>Discount Category</t>
  </si>
  <si>
    <t>Row Labels</t>
  </si>
  <si>
    <t>High Discount</t>
  </si>
  <si>
    <t>Low Discount</t>
  </si>
  <si>
    <t>Medium Discount</t>
  </si>
  <si>
    <t>Grand Total</t>
  </si>
  <si>
    <t>Average of Rating</t>
  </si>
  <si>
    <t>Average of Discount</t>
  </si>
  <si>
    <t>Count of Rating Category</t>
  </si>
  <si>
    <t>Sum of Review</t>
  </si>
  <si>
    <t>0.0126382306477093-0.0626382306477093</t>
  </si>
  <si>
    <t>0.0626382306477093-0.112638230647709</t>
  </si>
  <si>
    <t>0.112638230647709-0.162638230647709</t>
  </si>
  <si>
    <t>0.162638230647709-0.212638230647709</t>
  </si>
  <si>
    <t>0.212638230647709-0.262638230647709</t>
  </si>
  <si>
    <t>0.262638230647709-0.312638230647709</t>
  </si>
  <si>
    <t>0.312638230647709-0.362638230647709</t>
  </si>
  <si>
    <t>0.362638230647709-0.412638230647709</t>
  </si>
  <si>
    <t>0.412638230647709-0.462638230647709</t>
  </si>
  <si>
    <t>0.462638230647709-0.512638230647709</t>
  </si>
  <si>
    <t>0.512638230647709-0.562638230647709</t>
  </si>
  <si>
    <t>0.562638230647709-0.612638230647709</t>
  </si>
  <si>
    <t>0.612638230647709-0.662638230647709</t>
  </si>
  <si>
    <t>Average Rating</t>
  </si>
  <si>
    <t>Excellent Rating</t>
  </si>
  <si>
    <t>N/A</t>
  </si>
  <si>
    <t>Poor Rating</t>
  </si>
  <si>
    <t>Count of Product</t>
  </si>
  <si>
    <t>Old price</t>
  </si>
  <si>
    <t>Average of Old price</t>
  </si>
  <si>
    <t>Average of Current price</t>
  </si>
  <si>
    <t>Average of Review</t>
  </si>
  <si>
    <t>Sum of Rating</t>
  </si>
  <si>
    <t>(All)</t>
  </si>
  <si>
    <t>(Multiple Items)</t>
  </si>
  <si>
    <t>Max of Discount</t>
  </si>
  <si>
    <t>Current price range</t>
  </si>
  <si>
    <t>High Value Product</t>
  </si>
  <si>
    <t>Low Priced Product</t>
  </si>
  <si>
    <t>Medium Priced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</si>
</sst>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ES]\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3" fontId="0" fillId="0" borderId="0" xfId="0" applyNumberFormat="1"/>
    <xf numFmtId="0" fontId="0" fillId="0" borderId="0" xfId="0" applyAlignment="1"/>
    <xf numFmtId="164" fontId="0" fillId="0" borderId="0" xfId="0" applyNumberFormat="1"/>
    <xf numFmtId="10" fontId="0" fillId="0" borderId="0" xfId="0" applyNumberFormat="1"/>
    <xf numFmtId="0" fontId="18" fillId="0" borderId="0" xfId="0" applyFont="1"/>
    <xf numFmtId="10" fontId="18" fillId="0" borderId="0" xfId="0" applyNumberFormat="1" applyFont="1"/>
    <xf numFmtId="0" fontId="18" fillId="0" borderId="0" xfId="0" applyFont="1" applyAlignme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alignment horizontal="left"/>
    </xf>
    <xf numFmtId="0" fontId="0" fillId="33"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
      <numFmt numFmtId="13" formatCode="0%"/>
    </dxf>
    <dxf>
      <numFmt numFmtId="1" formatCode="0"/>
    </dxf>
    <dxf>
      <numFmt numFmtId="1" formatCode="0"/>
    </dxf>
    <dxf>
      <font>
        <color rgb="FF9C0006"/>
      </font>
      <fill>
        <patternFill>
          <bgColor rgb="FFFFC7CE"/>
        </patternFill>
      </fill>
    </dxf>
    <dxf>
      <numFmt numFmtId="13" formatCode="0%"/>
    </dxf>
    <dxf>
      <numFmt numFmtId="1" formatCode="0"/>
    </dxf>
    <dxf>
      <numFmt numFmtId="1" formatCode="0"/>
    </dxf>
    <dxf>
      <numFmt numFmtId="13" formatCode="0%"/>
    </dxf>
    <dxf>
      <numFmt numFmtId="13" formatCode="0%"/>
    </dxf>
    <dxf>
      <numFmt numFmtId="164" formatCode="[$KES]\ #,##0.00"/>
    </dxf>
    <dxf>
      <numFmt numFmtId="164" formatCode="[$KES]\ #,##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[Excel_jumia_Assignment.xlsx]Product distribution!PivotTable11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Products distribution across rating categories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distribution'!$A$4:$A$8</c:f>
              <c:strCache>
                <c:ptCount val="4"/>
                <c:pt idx="0">
                  <c:v>Average Rating</c:v>
                </c:pt>
                <c:pt idx="1">
                  <c:v>Excellent Rating</c:v>
                </c:pt>
                <c:pt idx="2">
                  <c:v>N/A</c:v>
                </c:pt>
                <c:pt idx="3">
                  <c:v>Poor Rating</c:v>
                </c:pt>
              </c:strCache>
            </c:strRef>
          </c:cat>
          <c:val>
            <c:numRef>
              <c:f>'Product distribution'!$B$4:$B$8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E111-457E-A96E-128B9350944C}"/>
            </c:ext>
          </c:extLst>
        </c:ser>
        <c:dLbls>
          <c:dLblPos val="outEnd"/>
          <c:showLegendKey val="0"/>
          <c:showVal val="1"/>
          <c:showCatName val="0"/>
          <c:showSerName val="0"/>
          <c:showPercent val="0"/>
          <c:showBubbleSize val="0"/>
        </c:dLbls>
        <c:gapWidth val="219"/>
        <c:overlap val="-27"/>
        <c:axId val="503733935"/>
        <c:axId val="403377247"/>
      </c:barChart>
      <c:catAx>
        <c:axId val="5037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3377247"/>
        <c:crosses val="autoZero"/>
        <c:auto val="1"/>
        <c:lblAlgn val="ctr"/>
        <c:lblOffset val="100"/>
        <c:noMultiLvlLbl val="0"/>
      </c:catAx>
      <c:valAx>
        <c:axId val="403377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37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[Excel_jumia_Assignment.xlsx]disc pct &amp; no. of reviews!PivotTable12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Discount Percentage Versus Reviews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'disc pct &amp; no. of reviews'!$B$3</c:f>
              <c:strCache>
                <c:ptCount val="1"/>
                <c:pt idx="0">
                  <c:v>Total</c:v>
                </c:pt>
              </c:strCache>
            </c:strRef>
          </c:tx>
          <c:spPr>
            <a:ln w="28575" cap="rnd">
              <a:solidFill>
                <a:schemeClr val="accent1"/>
              </a:solidFill>
              <a:round/>
            </a:ln>
            <a:effectLst/>
          </c:spPr>
          <c:marker>
            <c:symbol val="none"/>
          </c:marker>
          <c:cat>
            <c:strRef>
              <c:f>'disc pct &amp; no. of reviews'!$A$4:$A$17</c:f>
              <c:strCache>
                <c:ptCount val="13"/>
                <c:pt idx="0">
                  <c:v>0.0126382306477093-0.0626382306477093</c:v>
                </c:pt>
                <c:pt idx="1">
                  <c:v>0.0626382306477093-0.112638230647709</c:v>
                </c:pt>
                <c:pt idx="2">
                  <c:v>0.112638230647709-0.162638230647709</c:v>
                </c:pt>
                <c:pt idx="3">
                  <c:v>0.162638230647709-0.212638230647709</c:v>
                </c:pt>
                <c:pt idx="4">
                  <c:v>0.212638230647709-0.262638230647709</c:v>
                </c:pt>
                <c:pt idx="5">
                  <c:v>0.262638230647709-0.312638230647709</c:v>
                </c:pt>
                <c:pt idx="6">
                  <c:v>0.312638230647709-0.362638230647709</c:v>
                </c:pt>
                <c:pt idx="7">
                  <c:v>0.362638230647709-0.412638230647709</c:v>
                </c:pt>
                <c:pt idx="8">
                  <c:v>0.412638230647709-0.462638230647709</c:v>
                </c:pt>
                <c:pt idx="9">
                  <c:v>0.462638230647709-0.512638230647709</c:v>
                </c:pt>
                <c:pt idx="10">
                  <c:v>0.512638230647709-0.562638230647709</c:v>
                </c:pt>
                <c:pt idx="11">
                  <c:v>0.562638230647709-0.612638230647709</c:v>
                </c:pt>
                <c:pt idx="12">
                  <c:v>0.612638230647709-0.662638230647709</c:v>
                </c:pt>
              </c:strCache>
            </c:strRef>
          </c:cat>
          <c:val>
            <c:numRef>
              <c:f>'disc pct &amp; no. of reviews'!$B$4:$B$17</c:f>
              <c:numCache>
                <c:formatCode>General</c:formatCode>
                <c:ptCount val="13"/>
                <c:pt idx="0">
                  <c:v>0</c:v>
                </c:pt>
                <c:pt idx="1">
                  <c:v>15</c:v>
                </c:pt>
                <c:pt idx="2">
                  <c:v>6</c:v>
                </c:pt>
                <c:pt idx="3">
                  <c:v>30</c:v>
                </c:pt>
                <c:pt idx="4">
                  <c:v>114</c:v>
                </c:pt>
                <c:pt idx="5">
                  <c:v>77</c:v>
                </c:pt>
                <c:pt idx="6">
                  <c:v>130</c:v>
                </c:pt>
                <c:pt idx="7">
                  <c:v>53</c:v>
                </c:pt>
                <c:pt idx="8">
                  <c:v>48</c:v>
                </c:pt>
                <c:pt idx="9">
                  <c:v>174</c:v>
                </c:pt>
                <c:pt idx="10">
                  <c:v>76</c:v>
                </c:pt>
                <c:pt idx="11">
                  <c:v>0</c:v>
                </c:pt>
                <c:pt idx="12">
                  <c:v>0</c:v>
                </c:pt>
              </c:numCache>
            </c:numRef>
          </c:val>
          <c:smooth val="0"/>
          <c:extLst>
            <c:ext xmlns:c16="http://schemas.microsoft.com/office/drawing/2014/chart" uri="{C3380CC4-5D6E-409C-BE32-E72D297353CC}">
              <c16:uniqueId val="{00000000-500E-440C-9722-7839D4750281}"/>
            </c:ext>
          </c:extLst>
        </c:ser>
        <c:dLbls>
          <c:showLegendKey val="0"/>
          <c:showVal val="0"/>
          <c:showCatName val="0"/>
          <c:showSerName val="0"/>
          <c:showPercent val="0"/>
          <c:showBubbleSize val="0"/>
        </c:dLbls>
        <c:smooth val="0"/>
        <c:axId val="261815439"/>
        <c:axId val="264210911"/>
      </c:lineChart>
      <c:catAx>
        <c:axId val="26181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4210911"/>
        <c:crosses val="autoZero"/>
        <c:auto val="1"/>
        <c:lblAlgn val="ctr"/>
        <c:lblOffset val="100"/>
        <c:noMultiLvlLbl val="0"/>
      </c:catAx>
      <c:valAx>
        <c:axId val="26421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181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[Excel_jumia_Assignment.xlsx]Rating &amp; no. of reviews!PivotTable13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Rating Versus Reviews </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'Rating &amp; no. of reviews'!$B$3</c:f>
              <c:strCache>
                <c:ptCount val="1"/>
                <c:pt idx="0">
                  <c:v>Total</c:v>
                </c:pt>
              </c:strCache>
            </c:strRef>
          </c:tx>
          <c:spPr>
            <a:ln w="28575" cap="rnd">
              <a:solidFill>
                <a:schemeClr val="accent1"/>
              </a:solidFill>
              <a:round/>
            </a:ln>
            <a:effectLst/>
          </c:spPr>
          <c:marker>
            <c:symbol val="none"/>
          </c:marker>
          <c:cat>
            <c:strRef>
              <c:f>'Rating &amp; no. of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 &amp; no. of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smooth val="0"/>
          <c:extLst>
            <c:ext xmlns:c16="http://schemas.microsoft.com/office/drawing/2014/chart" uri="{C3380CC4-5D6E-409C-BE32-E72D297353CC}">
              <c16:uniqueId val="{00000000-7840-4823-B9AF-23F427DA1C51}"/>
            </c:ext>
          </c:extLst>
        </c:ser>
        <c:dLbls>
          <c:showLegendKey val="0"/>
          <c:showVal val="0"/>
          <c:showCatName val="0"/>
          <c:showSerName val="0"/>
          <c:showPercent val="0"/>
          <c:showBubbleSize val="0"/>
        </c:dLbls>
        <c:smooth val="0"/>
        <c:axId val="411983839"/>
        <c:axId val="415168815"/>
      </c:lineChart>
      <c:catAx>
        <c:axId val="4119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168815"/>
        <c:crosses val="autoZero"/>
        <c:auto val="1"/>
        <c:lblAlgn val="ctr"/>
        <c:lblOffset val="100"/>
        <c:noMultiLvlLbl val="0"/>
      </c:catAx>
      <c:valAx>
        <c:axId val="41516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198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[Excel_jumia_Assignment.xlsx]higher disc lead to increased!PivotTable14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'higher disc lead to increased'!$B$3</c:f>
              <c:strCache>
                <c:ptCount val="1"/>
                <c:pt idx="0">
                  <c:v>Total</c:v>
                </c:pt>
              </c:strCache>
            </c:strRef>
          </c:tx>
          <c:spPr>
            <a:solidFill>
              <a:schemeClr val="accent1"/>
            </a:solidFill>
            <a:ln>
              <a:noFill/>
            </a:ln>
            <a:effectLst/>
          </c:spPr>
          <c:invertIfNegative val="0"/>
          <c:cat>
            <c:strRef>
              <c:f>'higher disc lead to increased'!$A$4:$A$17</c:f>
              <c:strCache>
                <c:ptCount val="13"/>
                <c:pt idx="0">
                  <c:v>0.0126382306477093-0.0626382306477093</c:v>
                </c:pt>
                <c:pt idx="1">
                  <c:v>0.0626382306477093-0.112638230647709</c:v>
                </c:pt>
                <c:pt idx="2">
                  <c:v>0.112638230647709-0.162638230647709</c:v>
                </c:pt>
                <c:pt idx="3">
                  <c:v>0.162638230647709-0.212638230647709</c:v>
                </c:pt>
                <c:pt idx="4">
                  <c:v>0.212638230647709-0.262638230647709</c:v>
                </c:pt>
                <c:pt idx="5">
                  <c:v>0.262638230647709-0.312638230647709</c:v>
                </c:pt>
                <c:pt idx="6">
                  <c:v>0.312638230647709-0.362638230647709</c:v>
                </c:pt>
                <c:pt idx="7">
                  <c:v>0.362638230647709-0.412638230647709</c:v>
                </c:pt>
                <c:pt idx="8">
                  <c:v>0.412638230647709-0.462638230647709</c:v>
                </c:pt>
                <c:pt idx="9">
                  <c:v>0.462638230647709-0.512638230647709</c:v>
                </c:pt>
                <c:pt idx="10">
                  <c:v>0.512638230647709-0.562638230647709</c:v>
                </c:pt>
                <c:pt idx="11">
                  <c:v>0.562638230647709-0.612638230647709</c:v>
                </c:pt>
                <c:pt idx="12">
                  <c:v>0.612638230647709-0.662638230647709</c:v>
                </c:pt>
              </c:strCache>
            </c:strRef>
          </c:cat>
          <c:val>
            <c:numRef>
              <c:f>'higher disc lead to increased'!$B$4:$B$17</c:f>
              <c:numCache>
                <c:formatCode>General</c:formatCode>
                <c:ptCount val="13"/>
                <c:pt idx="0">
                  <c:v>0</c:v>
                </c:pt>
                <c:pt idx="1">
                  <c:v>15</c:v>
                </c:pt>
                <c:pt idx="2">
                  <c:v>6</c:v>
                </c:pt>
                <c:pt idx="3">
                  <c:v>30</c:v>
                </c:pt>
                <c:pt idx="4">
                  <c:v>114</c:v>
                </c:pt>
                <c:pt idx="5">
                  <c:v>77</c:v>
                </c:pt>
                <c:pt idx="6">
                  <c:v>130</c:v>
                </c:pt>
                <c:pt idx="7">
                  <c:v>53</c:v>
                </c:pt>
                <c:pt idx="8">
                  <c:v>48</c:v>
                </c:pt>
                <c:pt idx="9">
                  <c:v>174</c:v>
                </c:pt>
                <c:pt idx="10">
                  <c:v>76</c:v>
                </c:pt>
                <c:pt idx="11">
                  <c:v>0</c:v>
                </c:pt>
                <c:pt idx="12">
                  <c:v>0</c:v>
                </c:pt>
              </c:numCache>
            </c:numRef>
          </c:val>
          <c:extLst>
            <c:ext xmlns:c16="http://schemas.microsoft.com/office/drawing/2014/chart" uri="{C3380CC4-5D6E-409C-BE32-E72D297353CC}">
              <c16:uniqueId val="{00000000-2B95-4FA4-9497-00F2A9413C48}"/>
            </c:ext>
          </c:extLst>
        </c:ser>
        <c:dLbls>
          <c:showLegendKey val="0"/>
          <c:showVal val="0"/>
          <c:showCatName val="0"/>
          <c:showSerName val="0"/>
          <c:showPercent val="0"/>
          <c:showBubbleSize val="0"/>
        </c:dLbls>
        <c:gapWidth val="219"/>
        <c:overlap val="-27"/>
        <c:axId val="262170831"/>
        <c:axId val="505050607"/>
      </c:barChart>
      <c:catAx>
        <c:axId val="2621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50607"/>
        <c:crosses val="autoZero"/>
        <c:auto val="1"/>
        <c:lblAlgn val="ctr"/>
        <c:lblOffset val="100"/>
        <c:noMultiLvlLbl val="0"/>
      </c:catAx>
      <c:valAx>
        <c:axId val="50505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[Excel_jumia_Assignment.xlsx]Higher rated products tend to h!PivotTable15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'Higher rated products tend to h'!$B$3</c:f>
              <c:strCache>
                <c:ptCount val="1"/>
                <c:pt idx="0">
                  <c:v>Total</c:v>
                </c:pt>
              </c:strCache>
            </c:strRef>
          </c:tx>
          <c:spPr>
            <a:solidFill>
              <a:schemeClr val="accent1"/>
            </a:solidFill>
            <a:ln>
              <a:noFill/>
            </a:ln>
            <a:effectLst/>
          </c:spPr>
          <c:invertIfNegative val="0"/>
          <c:cat>
            <c:strRef>
              <c:f>'Higher rated products tend to h'!$A$4:$A$8</c:f>
              <c:strCache>
                <c:ptCount val="4"/>
                <c:pt idx="0">
                  <c:v>Average Rating</c:v>
                </c:pt>
                <c:pt idx="1">
                  <c:v>Excellent Rating</c:v>
                </c:pt>
                <c:pt idx="2">
                  <c:v>N/A</c:v>
                </c:pt>
                <c:pt idx="3">
                  <c:v>Poor Rating</c:v>
                </c:pt>
              </c:strCache>
            </c:strRef>
          </c:cat>
          <c:val>
            <c:numRef>
              <c:f>'Higher rated products tend to h'!$B$4:$B$8</c:f>
              <c:numCache>
                <c:formatCode>General</c:formatCode>
                <c:ptCount val="4"/>
                <c:pt idx="0">
                  <c:v>223</c:v>
                </c:pt>
                <c:pt idx="1">
                  <c:v>331</c:v>
                </c:pt>
                <c:pt idx="2">
                  <c:v>0</c:v>
                </c:pt>
                <c:pt idx="3">
                  <c:v>169</c:v>
                </c:pt>
              </c:numCache>
            </c:numRef>
          </c:val>
          <c:extLst>
            <c:ext xmlns:c16="http://schemas.microsoft.com/office/drawing/2014/chart" uri="{C3380CC4-5D6E-409C-BE32-E72D297353CC}">
              <c16:uniqueId val="{00000000-EB3F-4950-9019-C8DCB5821A60}"/>
            </c:ext>
          </c:extLst>
        </c:ser>
        <c:dLbls>
          <c:showLegendKey val="0"/>
          <c:showVal val="0"/>
          <c:showCatName val="0"/>
          <c:showSerName val="0"/>
          <c:showPercent val="0"/>
          <c:showBubbleSize val="0"/>
        </c:dLbls>
        <c:gapWidth val="219"/>
        <c:overlap val="-27"/>
        <c:axId val="404537471"/>
        <c:axId val="413726591"/>
      </c:barChart>
      <c:catAx>
        <c:axId val="4045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26591"/>
        <c:crosses val="autoZero"/>
        <c:auto val="1"/>
        <c:lblAlgn val="ctr"/>
        <c:lblOffset val="100"/>
        <c:noMultiLvlLbl val="0"/>
      </c:catAx>
      <c:valAx>
        <c:axId val="41372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rating!PivotTable16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rating </a:t>
            </a:r>
          </a:p>
        </c:rich>
      </c:tx>
      <c:layout>
        <c:manualLayout>
          <c:xMode val="edge"/>
          <c:yMode val="edge"/>
          <c:x val="0.29608344682560805"/>
          <c:y val="0.1688995996335905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rating'!$A$4:$A$14</c:f>
              <c:strCache>
                <c:ptCount val="10"/>
                <c:pt idx="0">
                  <c:v>DIY File Folder, Office Drawer File Holder, Pen Holder, Desktop Storage Rack</c:v>
                </c:pt>
                <c:pt idx="1">
                  <c:v>Bedroom Simple Floor Hanging Clothes Rack Single Pole Hat Rack - White</c:v>
                </c:pt>
                <c:pt idx="2">
                  <c:v>Classic Black Cat Cotton Hemp Pillow Case For Home Car</c:v>
                </c:pt>
                <c:pt idx="3">
                  <c:v>Peacock  Throw Pillow Cushion Case For Home Car</c:v>
                </c:pt>
                <c:pt idx="4">
                  <c:v>Anti-Skid Absorbent Insulation Coaster  For Home Office</c:v>
                </c:pt>
                <c:pt idx="5">
                  <c:v>LASA Aluminum Folding Truck Hand Cart - 68kg Max</c:v>
                </c:pt>
                <c:pt idx="6">
                  <c:v>Konka Healty Electric Kettle, 24-hour Heat Preservation,1.5L,800W, White</c:v>
                </c:pt>
                <c:pt idx="7">
                  <c:v>LASA FOLDING TABLE SERVING STAND</c:v>
                </c:pt>
                <c:pt idx="8">
                  <c:v>40cm Gold DIY Acrylic Wall Sticker Clock</c:v>
                </c:pt>
                <c:pt idx="9">
                  <c:v>Portable Home Small Air Humidifier 3-Speed Fan - Green</c:v>
                </c:pt>
              </c:strCache>
            </c:strRef>
          </c:cat>
          <c:val>
            <c:numRef>
              <c:f>'By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2E6-492E-8FA6-C1F9071BCF80}"/>
            </c:ext>
          </c:extLst>
        </c:ser>
        <c:dLbls>
          <c:dLblPos val="outEnd"/>
          <c:showLegendKey val="0"/>
          <c:showVal val="1"/>
          <c:showCatName val="0"/>
          <c:showSerName val="0"/>
          <c:showPercent val="0"/>
          <c:showBubbleSize val="0"/>
        </c:dLbls>
        <c:gapWidth val="100"/>
        <c:overlap val="-24"/>
        <c:axId val="657200223"/>
        <c:axId val="505052687"/>
      </c:barChart>
      <c:catAx>
        <c:axId val="657200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505052687"/>
        <c:crosses val="autoZero"/>
        <c:auto val="1"/>
        <c:lblAlgn val="ctr"/>
        <c:lblOffset val="100"/>
        <c:noMultiLvlLbl val="0"/>
      </c:catAx>
      <c:valAx>
        <c:axId val="505052687"/>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65720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no. of reviews!PivotTable17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number of reviews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no. of reviews'!$B$3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no. of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'By no. of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E8A-49CD-8CD6-5C4C92D2B74F}"/>
            </c:ext>
          </c:extLst>
        </c:ser>
        <c:dLbls>
          <c:dLblPos val="outEnd"/>
          <c:showLegendKey val="0"/>
          <c:showVal val="1"/>
          <c:showCatName val="0"/>
          <c:showSerName val="0"/>
          <c:showPercent val="0"/>
          <c:showBubbleSize val="0"/>
        </c:dLbls>
        <c:gapWidth val="100"/>
        <c:overlap val="-24"/>
        <c:axId val="505085599"/>
        <c:axId val="513835791"/>
      </c:barChart>
      <c:catAx>
        <c:axId val="505085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513835791"/>
        <c:crosses val="autoZero"/>
        <c:auto val="1"/>
        <c:lblAlgn val="ctr"/>
        <c:lblOffset val="100"/>
        <c:noMultiLvlLbl val="0"/>
      </c:catAx>
      <c:valAx>
        <c:axId val="513835791"/>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0508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percentage!PivotTable18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discount percentage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discount percentage'!$B$3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discount percentage'!$A$4:$A$14</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'By discount percentage'!$B$4:$B$14</c:f>
              <c:numCache>
                <c:formatCode>0%</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B8DB-4810-8E67-00A47DB48CD8}"/>
            </c:ext>
          </c:extLst>
        </c:ser>
        <c:dLbls>
          <c:dLblPos val="outEnd"/>
          <c:showLegendKey val="0"/>
          <c:showVal val="1"/>
          <c:showCatName val="0"/>
          <c:showSerName val="0"/>
          <c:showPercent val="0"/>
          <c:showBubbleSize val="0"/>
        </c:dLbls>
        <c:gapWidth val="100"/>
        <c:overlap val="-24"/>
        <c:axId val="415302575"/>
        <c:axId val="505054767"/>
      </c:barChart>
      <c:catAx>
        <c:axId val="415302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505054767"/>
        <c:crosses val="autoZero"/>
        <c:auto val="1"/>
        <c:lblAlgn val="ctr"/>
        <c:lblOffset val="100"/>
        <c:noMultiLvlLbl val="0"/>
      </c:catAx>
      <c:valAx>
        <c:axId val="505054767"/>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41530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percentage!PivotTable18</c:name>
    <c:fmtId val="3"/>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Top products by discount percentage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discount percentage'!$B$3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percentage'!$A$4:$A$14</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'By discount percentage'!$B$4:$B$14</c:f>
              <c:numCache>
                <c:formatCode>0%</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4AE3-4FAF-8340-48C684B753D6}"/>
            </c:ext>
          </c:extLst>
        </c:ser>
        <c:dLbls>
          <c:dLblPos val="outEnd"/>
          <c:showLegendKey val="0"/>
          <c:showVal val="1"/>
          <c:showCatName val="0"/>
          <c:showSerName val="0"/>
          <c:showPercent val="0"/>
          <c:showBubbleSize val="0"/>
        </c:dLbls>
        <c:gapWidth val="182"/>
        <c:axId val="510816239"/>
        <c:axId val="413475103"/>
      </c:barChart>
      <c:catAx>
        <c:axId val="51081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solidFill>
                <a:latin typeface="+mn-lt"/>
                <a:ea typeface="+mn-ea"/>
                <a:cs typeface="+mn-cs"/>
              </a:defRPr>
            </a:pPr>
            <a:endParaRPr lang="en-US"/>
          </a:p>
        </c:txPr>
        <c:crossAx val="413475103"/>
        <c:crosses val="autoZero"/>
        <c:auto val="1"/>
        <c:lblAlgn val="ctr"/>
        <c:lblOffset val="100"/>
        <c:noMultiLvlLbl val="0"/>
      </c:catAx>
      <c:valAx>
        <c:axId val="4134751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1081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rating category!PivotTable19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Products By Rating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41-4137-AFCB-5B0F283D04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41-4137-AFCB-5B0F283D04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41-4137-AFCB-5B0F283D04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41-4137-AFCB-5B0F283D04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rating category'!$A$4:$A$8</c:f>
              <c:strCache>
                <c:ptCount val="4"/>
                <c:pt idx="0">
                  <c:v>Average Rating</c:v>
                </c:pt>
                <c:pt idx="1">
                  <c:v>Excellent Rating</c:v>
                </c:pt>
                <c:pt idx="2">
                  <c:v>N/A</c:v>
                </c:pt>
                <c:pt idx="3">
                  <c:v>Poor Rating</c:v>
                </c:pt>
              </c:strCache>
            </c:strRef>
          </c:cat>
          <c:val>
            <c:numRef>
              <c:f>'By rating category'!$B$4:$B$8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A0F6-4930-B9FB-60E40F8F76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category!PivotTable20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Products By Discount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'By discount category'!$B$3</c:f>
              <c:strCache>
                <c:ptCount val="1"/>
                <c:pt idx="0">
                  <c:v>Count of Product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E3-46A0-B48B-487D833D25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E3-46A0-B48B-487D833D25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7E3-46A0-B48B-487D833D25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category'!$B$4:$B$7</c:f>
              <c:numCache>
                <c:formatCode>General</c:formatCode>
                <c:ptCount val="3"/>
                <c:pt idx="0">
                  <c:v>59</c:v>
                </c:pt>
                <c:pt idx="1">
                  <c:v>18</c:v>
                </c:pt>
                <c:pt idx="2">
                  <c:v>32</c:v>
                </c:pt>
              </c:numCache>
            </c:numRef>
          </c:val>
          <c:extLst>
            <c:ext xmlns:c16="http://schemas.microsoft.com/office/drawing/2014/chart" uri="{C3380CC4-5D6E-409C-BE32-E72D297353CC}">
              <c16:uniqueId val="{00000000-AC26-4142-B28D-F2BD3D2FEE2A}"/>
            </c:ext>
          </c:extLst>
        </c:ser>
        <c:ser>
          <c:idx val="1"/>
          <c:order val="1"/>
          <c:tx>
            <c:strRef>
              <c:f>'By discount category'!$C$3</c:f>
              <c:strCache>
                <c:ptCount val="1"/>
                <c:pt idx="0">
                  <c:v>Sum of Review</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67BE-4B45-9DF6-4320A18E5C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67BE-4B45-9DF6-4320A18E5C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67BE-4B45-9DF6-4320A18E5C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category'!$C$4:$C$7</c:f>
              <c:numCache>
                <c:formatCode>General</c:formatCode>
                <c:ptCount val="3"/>
                <c:pt idx="0">
                  <c:v>334</c:v>
                </c:pt>
                <c:pt idx="1">
                  <c:v>38</c:v>
                </c:pt>
                <c:pt idx="2">
                  <c:v>351</c:v>
                </c:pt>
              </c:numCache>
            </c:numRef>
          </c:val>
          <c:extLst>
            <c:ext xmlns:c16="http://schemas.microsoft.com/office/drawing/2014/chart" uri="{C3380CC4-5D6E-409C-BE32-E72D297353CC}">
              <c16:uniqueId val="{00000006-F7E3-46A0-B48B-487D833D25E7}"/>
            </c:ext>
          </c:extLst>
        </c:ser>
        <c:ser>
          <c:idx val="2"/>
          <c:order val="2"/>
          <c:tx>
            <c:strRef>
              <c:f>'By discount category'!$D$3</c:f>
              <c:strCache>
                <c:ptCount val="1"/>
                <c:pt idx="0">
                  <c:v>Sum of Rating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67BE-4B45-9DF6-4320A18E5C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67BE-4B45-9DF6-4320A18E5C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67BE-4B45-9DF6-4320A18E5C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category'!$D$4:$D$7</c:f>
              <c:numCache>
                <c:formatCode>General</c:formatCode>
                <c:ptCount val="3"/>
                <c:pt idx="0">
                  <c:v>108.39999999999999</c:v>
                </c:pt>
                <c:pt idx="1">
                  <c:v>14.899999999999999</c:v>
                </c:pt>
                <c:pt idx="2">
                  <c:v>98.4</c:v>
                </c:pt>
              </c:numCache>
            </c:numRef>
          </c:val>
          <c:extLst>
            <c:ext xmlns:c16="http://schemas.microsoft.com/office/drawing/2014/chart" uri="{C3380CC4-5D6E-409C-BE32-E72D297353CC}">
              <c16:uniqueId val="{00000007-F7E3-46A0-B48B-487D833D25E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category!PivotTable20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Review</a:t>
            </a:r>
            <a:r>
              <a:rPr lang="en-US" baseline="0"/>
              <a:t> &amp; Rating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discount category'!$B$3</c:f>
              <c:strCache>
                <c:ptCount val="1"/>
                <c:pt idx="0">
                  <c:v>Count of Product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category'!$B$4:$B$7</c:f>
              <c:numCache>
                <c:formatCode>General</c:formatCode>
                <c:ptCount val="3"/>
                <c:pt idx="0">
                  <c:v>59</c:v>
                </c:pt>
                <c:pt idx="1">
                  <c:v>18</c:v>
                </c:pt>
                <c:pt idx="2">
                  <c:v>32</c:v>
                </c:pt>
              </c:numCache>
            </c:numRef>
          </c:val>
          <c:extLst>
            <c:ext xmlns:c16="http://schemas.microsoft.com/office/drawing/2014/chart" uri="{C3380CC4-5D6E-409C-BE32-E72D297353CC}">
              <c16:uniqueId val="{00000000-1C05-498C-8900-E0CBD697FFDF}"/>
            </c:ext>
          </c:extLst>
        </c:ser>
        <c:ser>
          <c:idx val="1"/>
          <c:order val="1"/>
          <c:tx>
            <c:strRef>
              <c:f>'By discount category'!$C$3</c:f>
              <c:strCache>
                <c:ptCount val="1"/>
                <c:pt idx="0">
                  <c:v>Sum of Review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category'!$C$4:$C$7</c:f>
              <c:numCache>
                <c:formatCode>General</c:formatCode>
                <c:ptCount val="3"/>
                <c:pt idx="0">
                  <c:v>334</c:v>
                </c:pt>
                <c:pt idx="1">
                  <c:v>38</c:v>
                </c:pt>
                <c:pt idx="2">
                  <c:v>351</c:v>
                </c:pt>
              </c:numCache>
            </c:numRef>
          </c:val>
          <c:extLst>
            <c:ext xmlns:c16="http://schemas.microsoft.com/office/drawing/2014/chart" uri="{C3380CC4-5D6E-409C-BE32-E72D297353CC}">
              <c16:uniqueId val="{00000001-1C05-498C-8900-E0CBD697FFDF}"/>
            </c:ext>
          </c:extLst>
        </c:ser>
        <c:ser>
          <c:idx val="2"/>
          <c:order val="2"/>
          <c:tx>
            <c:strRef>
              <c:f>'By discount category'!$D$3</c:f>
              <c:strCache>
                <c:ptCount val="1"/>
                <c:pt idx="0">
                  <c:v>Sum of Rating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category'!$D$4:$D$7</c:f>
              <c:numCache>
                <c:formatCode>General</c:formatCode>
                <c:ptCount val="3"/>
                <c:pt idx="0">
                  <c:v>108.39999999999999</c:v>
                </c:pt>
                <c:pt idx="1">
                  <c:v>14.899999999999999</c:v>
                </c:pt>
                <c:pt idx="2">
                  <c:v>98.4</c:v>
                </c:pt>
              </c:numCache>
            </c:numRef>
          </c:val>
          <c:extLst>
            <c:ext xmlns:c16="http://schemas.microsoft.com/office/drawing/2014/chart" uri="{C3380CC4-5D6E-409C-BE32-E72D297353CC}">
              <c16:uniqueId val="{00000002-1C05-498C-8900-E0CBD697FFDF}"/>
            </c:ext>
          </c:extLst>
        </c:ser>
        <c:dLbls>
          <c:dLblPos val="outEnd"/>
          <c:showLegendKey val="0"/>
          <c:showVal val="1"/>
          <c:showCatName val="0"/>
          <c:showSerName val="0"/>
          <c:showPercent val="0"/>
          <c:showBubbleSize val="0"/>
        </c:dLbls>
        <c:gapWidth val="219"/>
        <c:overlap val="-27"/>
        <c:axId val="1267181967"/>
        <c:axId val="972308287"/>
      </c:barChart>
      <c:catAx>
        <c:axId val="126718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08287"/>
        <c:crosses val="autoZero"/>
        <c:auto val="1"/>
        <c:lblAlgn val="ctr"/>
        <c:lblOffset val="100"/>
        <c:noMultiLvlLbl val="0"/>
      </c:catAx>
      <c:valAx>
        <c:axId val="9723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8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no. of reviews!PivotTable17</c:name>
    <c:fmtId val="2"/>
  </c:pivotSource>
  <c:chart>
    <c:title>
      <c:tx>
        <c:rich>
          <a:bodyPr rot="0" spcFirstLastPara="1" vertOverflow="ellipsis" vert="horz" wrap="square" anchor="ctr" anchorCtr="1"/>
          <a:lstStyle/>
          <a:p>
            <a:pPr algn="ctr" rtl="0">
              <a:defRPr lang="en-US" sz="1600" b="1" i="0" u="none" strike="noStrike" kern="120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Top products by number of reviews </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rgbClr val="44546A"/>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no. of reviews'!$B$3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no. of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'By no. of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5FFE-47FD-AECC-15DC8A13539C}"/>
            </c:ext>
          </c:extLst>
        </c:ser>
        <c:dLbls>
          <c:dLblPos val="outEnd"/>
          <c:showLegendKey val="0"/>
          <c:showVal val="1"/>
          <c:showCatName val="0"/>
          <c:showSerName val="0"/>
          <c:showPercent val="0"/>
          <c:showBubbleSize val="0"/>
        </c:dLbls>
        <c:gapWidth val="100"/>
        <c:axId val="505085599"/>
        <c:axId val="513835791"/>
      </c:barChart>
      <c:catAx>
        <c:axId val="5050855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tx2"/>
                </a:solidFill>
                <a:latin typeface="+mn-lt"/>
                <a:ea typeface="+mn-ea"/>
                <a:cs typeface="+mn-cs"/>
              </a:defRPr>
            </a:pPr>
            <a:endParaRPr lang="en-US"/>
          </a:p>
        </c:txPr>
        <c:crossAx val="513835791"/>
        <c:crosses val="autoZero"/>
        <c:auto val="1"/>
        <c:lblAlgn val="ctr"/>
        <c:lblOffset val="100"/>
        <c:noMultiLvlLbl val="0"/>
      </c:catAx>
      <c:valAx>
        <c:axId val="513835791"/>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0508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[Excel_jumia_Assignment.xlsx]disc pct &amp; no. of reviews!PivotTable12</c:name>
    <c:fmtId val="2"/>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Discount Percentage vs Reviews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'disc pct &amp; no. of reviews'!$B$3</c:f>
              <c:strCache>
                <c:ptCount val="1"/>
                <c:pt idx="0">
                  <c:v>Total</c:v>
                </c:pt>
              </c:strCache>
            </c:strRef>
          </c:tx>
          <c:spPr>
            <a:ln w="28575" cap="rnd">
              <a:solidFill>
                <a:schemeClr val="accent1"/>
              </a:solidFill>
              <a:round/>
            </a:ln>
            <a:effectLst/>
          </c:spPr>
          <c:marker>
            <c:symbol val="none"/>
          </c:marker>
          <c:cat>
            <c:strRef>
              <c:f>'disc pct &amp; no. of reviews'!$A$4:$A$17</c:f>
              <c:strCache>
                <c:ptCount val="13"/>
                <c:pt idx="0">
                  <c:v>0.0126382306477093-0.0626382306477093</c:v>
                </c:pt>
                <c:pt idx="1">
                  <c:v>0.0626382306477093-0.112638230647709</c:v>
                </c:pt>
                <c:pt idx="2">
                  <c:v>0.112638230647709-0.162638230647709</c:v>
                </c:pt>
                <c:pt idx="3">
                  <c:v>0.162638230647709-0.212638230647709</c:v>
                </c:pt>
                <c:pt idx="4">
                  <c:v>0.212638230647709-0.262638230647709</c:v>
                </c:pt>
                <c:pt idx="5">
                  <c:v>0.262638230647709-0.312638230647709</c:v>
                </c:pt>
                <c:pt idx="6">
                  <c:v>0.312638230647709-0.362638230647709</c:v>
                </c:pt>
                <c:pt idx="7">
                  <c:v>0.362638230647709-0.412638230647709</c:v>
                </c:pt>
                <c:pt idx="8">
                  <c:v>0.412638230647709-0.462638230647709</c:v>
                </c:pt>
                <c:pt idx="9">
                  <c:v>0.462638230647709-0.512638230647709</c:v>
                </c:pt>
                <c:pt idx="10">
                  <c:v>0.512638230647709-0.562638230647709</c:v>
                </c:pt>
                <c:pt idx="11">
                  <c:v>0.562638230647709-0.612638230647709</c:v>
                </c:pt>
                <c:pt idx="12">
                  <c:v>0.612638230647709-0.662638230647709</c:v>
                </c:pt>
              </c:strCache>
            </c:strRef>
          </c:cat>
          <c:val>
            <c:numRef>
              <c:f>'disc pct &amp; no. of reviews'!$B$4:$B$17</c:f>
              <c:numCache>
                <c:formatCode>General</c:formatCode>
                <c:ptCount val="13"/>
                <c:pt idx="0">
                  <c:v>0</c:v>
                </c:pt>
                <c:pt idx="1">
                  <c:v>15</c:v>
                </c:pt>
                <c:pt idx="2">
                  <c:v>6</c:v>
                </c:pt>
                <c:pt idx="3">
                  <c:v>30</c:v>
                </c:pt>
                <c:pt idx="4">
                  <c:v>114</c:v>
                </c:pt>
                <c:pt idx="5">
                  <c:v>77</c:v>
                </c:pt>
                <c:pt idx="6">
                  <c:v>130</c:v>
                </c:pt>
                <c:pt idx="7">
                  <c:v>53</c:v>
                </c:pt>
                <c:pt idx="8">
                  <c:v>48</c:v>
                </c:pt>
                <c:pt idx="9">
                  <c:v>174</c:v>
                </c:pt>
                <c:pt idx="10">
                  <c:v>76</c:v>
                </c:pt>
                <c:pt idx="11">
                  <c:v>0</c:v>
                </c:pt>
                <c:pt idx="12">
                  <c:v>0</c:v>
                </c:pt>
              </c:numCache>
            </c:numRef>
          </c:val>
          <c:smooth val="0"/>
          <c:extLst>
            <c:ext xmlns:c16="http://schemas.microsoft.com/office/drawing/2014/chart" uri="{C3380CC4-5D6E-409C-BE32-E72D297353CC}">
              <c16:uniqueId val="{00000000-F0CA-42E2-BB4A-75338AD00D6D}"/>
            </c:ext>
          </c:extLst>
        </c:ser>
        <c:dLbls>
          <c:showLegendKey val="0"/>
          <c:showVal val="0"/>
          <c:showCatName val="0"/>
          <c:showSerName val="0"/>
          <c:showPercent val="0"/>
          <c:showBubbleSize val="0"/>
        </c:dLbls>
        <c:smooth val="0"/>
        <c:axId val="261815439"/>
        <c:axId val="264210911"/>
      </c:lineChart>
      <c:catAx>
        <c:axId val="26181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4210911"/>
        <c:crosses val="autoZero"/>
        <c:auto val="1"/>
        <c:lblAlgn val="ctr"/>
        <c:lblOffset val="100"/>
        <c:noMultiLvlLbl val="0"/>
      </c:catAx>
      <c:valAx>
        <c:axId val="26421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181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[Excel_jumia_Assignment.xlsx]Rating &amp; no. of reviews!PivotTable13</c:name>
    <c:fmtId val="2"/>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Rating vs Reviews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'Rating &amp; no. of reviews'!$B$3</c:f>
              <c:strCache>
                <c:ptCount val="1"/>
                <c:pt idx="0">
                  <c:v>Total</c:v>
                </c:pt>
              </c:strCache>
            </c:strRef>
          </c:tx>
          <c:spPr>
            <a:ln w="28575" cap="rnd">
              <a:solidFill>
                <a:schemeClr val="accent1"/>
              </a:solidFill>
              <a:round/>
            </a:ln>
            <a:effectLst/>
          </c:spPr>
          <c:marker>
            <c:symbol val="none"/>
          </c:marker>
          <c:cat>
            <c:strRef>
              <c:f>'Rating &amp; no. of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 &amp; no. of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smooth val="0"/>
          <c:extLst>
            <c:ext xmlns:c16="http://schemas.microsoft.com/office/drawing/2014/chart" uri="{C3380CC4-5D6E-409C-BE32-E72D297353CC}">
              <c16:uniqueId val="{00000000-B546-49DC-9443-8E37F1D9F4B2}"/>
            </c:ext>
          </c:extLst>
        </c:ser>
        <c:dLbls>
          <c:showLegendKey val="0"/>
          <c:showVal val="0"/>
          <c:showCatName val="0"/>
          <c:showSerName val="0"/>
          <c:showPercent val="0"/>
          <c:showBubbleSize val="0"/>
        </c:dLbls>
        <c:smooth val="0"/>
        <c:axId val="411983839"/>
        <c:axId val="415168815"/>
      </c:lineChart>
      <c:catAx>
        <c:axId val="4119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168815"/>
        <c:crosses val="autoZero"/>
        <c:auto val="1"/>
        <c:lblAlgn val="ctr"/>
        <c:lblOffset val="100"/>
        <c:noMultiLvlLbl val="0"/>
      </c:catAx>
      <c:valAx>
        <c:axId val="41516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198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rating category!PivotTable19</c:name>
    <c:fmtId val="4"/>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spc="0" baseline="0">
                <a:solidFill>
                  <a:srgbClr val="44546A"/>
                </a:solidFill>
                <a:latin typeface="+mn-lt"/>
                <a:ea typeface="+mn-ea"/>
                <a:cs typeface="+mn-cs"/>
              </a:rPr>
              <a:t>Products By Rating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37-4A11-A32E-17B7E99F37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37-4A11-A32E-17B7E99F37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37-4A11-A32E-17B7E99F37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37-4A11-A32E-17B7E99F37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rating category'!$A$4:$A$8</c:f>
              <c:strCache>
                <c:ptCount val="4"/>
                <c:pt idx="0">
                  <c:v>Average Rating</c:v>
                </c:pt>
                <c:pt idx="1">
                  <c:v>Excellent Rating</c:v>
                </c:pt>
                <c:pt idx="2">
                  <c:v>N/A</c:v>
                </c:pt>
                <c:pt idx="3">
                  <c:v>Poor Rating</c:v>
                </c:pt>
              </c:strCache>
            </c:strRef>
          </c:cat>
          <c:val>
            <c:numRef>
              <c:f>'By rating category'!$B$4:$B$8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E837-4A11-A32E-17B7E99F374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rgbClr val="44546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category!PivotTable20</c:name>
    <c:fmtId val="4"/>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spc="0" baseline="0">
                <a:solidFill>
                  <a:srgbClr val="44546A"/>
                </a:solidFill>
                <a:latin typeface="+mn-lt"/>
                <a:ea typeface="+mn-ea"/>
                <a:cs typeface="+mn-cs"/>
              </a:rPr>
              <a:t>Products By Discount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'By discount category'!$B$3</c:f>
              <c:strCache>
                <c:ptCount val="1"/>
                <c:pt idx="0">
                  <c:v>Count of Product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87-4D7B-AFF0-52FAD51C76C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87-4D7B-AFF0-52FAD51C76C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87-4D7B-AFF0-52FAD51C76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category'!$B$4:$B$7</c:f>
              <c:numCache>
                <c:formatCode>General</c:formatCode>
                <c:ptCount val="3"/>
                <c:pt idx="0">
                  <c:v>59</c:v>
                </c:pt>
                <c:pt idx="1">
                  <c:v>18</c:v>
                </c:pt>
                <c:pt idx="2">
                  <c:v>32</c:v>
                </c:pt>
              </c:numCache>
            </c:numRef>
          </c:val>
          <c:extLst>
            <c:ext xmlns:c16="http://schemas.microsoft.com/office/drawing/2014/chart" uri="{C3380CC4-5D6E-409C-BE32-E72D297353CC}">
              <c16:uniqueId val="{00000006-0787-4D7B-AFF0-52FAD51C76C8}"/>
            </c:ext>
          </c:extLst>
        </c:ser>
        <c:ser>
          <c:idx val="1"/>
          <c:order val="1"/>
          <c:tx>
            <c:strRef>
              <c:f>'By discount category'!$C$3</c:f>
              <c:strCache>
                <c:ptCount val="1"/>
                <c:pt idx="0">
                  <c:v>Sum of Review</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ED-49B0-965E-16023FA56A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ED-49B0-965E-16023FA56A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1CED-49B0-965E-16023FA56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category'!$C$4:$C$7</c:f>
              <c:numCache>
                <c:formatCode>General</c:formatCode>
                <c:ptCount val="3"/>
                <c:pt idx="0">
                  <c:v>334</c:v>
                </c:pt>
                <c:pt idx="1">
                  <c:v>38</c:v>
                </c:pt>
                <c:pt idx="2">
                  <c:v>351</c:v>
                </c:pt>
              </c:numCache>
            </c:numRef>
          </c:val>
          <c:extLst>
            <c:ext xmlns:c16="http://schemas.microsoft.com/office/drawing/2014/chart" uri="{C3380CC4-5D6E-409C-BE32-E72D297353CC}">
              <c16:uniqueId val="{00000006-A5A7-40CF-9EC6-DD842B10214E}"/>
            </c:ext>
          </c:extLst>
        </c:ser>
        <c:ser>
          <c:idx val="2"/>
          <c:order val="2"/>
          <c:tx>
            <c:strRef>
              <c:f>'By discount category'!$D$3</c:f>
              <c:strCache>
                <c:ptCount val="1"/>
                <c:pt idx="0">
                  <c:v>Sum of Rating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1CED-49B0-965E-16023FA56A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1CED-49B0-965E-16023FA56A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1CED-49B0-965E-16023FA56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discount category'!$A$4:$A$7</c:f>
              <c:strCache>
                <c:ptCount val="3"/>
                <c:pt idx="0">
                  <c:v>High Discount</c:v>
                </c:pt>
                <c:pt idx="1">
                  <c:v>Low Discount</c:v>
                </c:pt>
                <c:pt idx="2">
                  <c:v>Medium Discount</c:v>
                </c:pt>
              </c:strCache>
            </c:strRef>
          </c:cat>
          <c:val>
            <c:numRef>
              <c:f>'By discount category'!$D$4:$D$7</c:f>
              <c:numCache>
                <c:formatCode>General</c:formatCode>
                <c:ptCount val="3"/>
                <c:pt idx="0">
                  <c:v>108.39999999999999</c:v>
                </c:pt>
                <c:pt idx="1">
                  <c:v>14.899999999999999</c:v>
                </c:pt>
                <c:pt idx="2">
                  <c:v>98.4</c:v>
                </c:pt>
              </c:numCache>
            </c:numRef>
          </c:val>
          <c:extLst>
            <c:ext xmlns:c16="http://schemas.microsoft.com/office/drawing/2014/chart" uri="{C3380CC4-5D6E-409C-BE32-E72D297353CC}">
              <c16:uniqueId val="{00000007-A5A7-40CF-9EC6-DD842B10214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rgbClr val="44546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percentage!PivotTable18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t>Top products by discount percentage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discount percentage'!$B$3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discount percentage'!$A$4:$A$14</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'By discount percentage'!$B$4:$B$14</c:f>
              <c:numCache>
                <c:formatCode>0%</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2874-4002-84DF-F13CB8C47A73}"/>
            </c:ext>
          </c:extLst>
        </c:ser>
        <c:dLbls>
          <c:dLblPos val="outEnd"/>
          <c:showLegendKey val="0"/>
          <c:showVal val="1"/>
          <c:showCatName val="0"/>
          <c:showSerName val="0"/>
          <c:showPercent val="0"/>
          <c:showBubbleSize val="0"/>
        </c:dLbls>
        <c:gapWidth val="100"/>
        <c:axId val="510816239"/>
        <c:axId val="413475103"/>
      </c:barChart>
      <c:catAx>
        <c:axId val="5108162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crossAx val="413475103"/>
        <c:crosses val="autoZero"/>
        <c:auto val="1"/>
        <c:lblAlgn val="ctr"/>
        <c:lblOffset val="100"/>
        <c:noMultiLvlLbl val="0"/>
      </c:catAx>
      <c:valAx>
        <c:axId val="413475103"/>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1081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rating!PivotTable16</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rating </a:t>
            </a:r>
          </a:p>
        </c:rich>
      </c:tx>
      <c:layout>
        <c:manualLayout>
          <c:xMode val="edge"/>
          <c:yMode val="edge"/>
          <c:x val="0.29608344682560805"/>
          <c:y val="0.1688995996335905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'By rating'!$A$4:$A$14</c:f>
              <c:strCache>
                <c:ptCount val="10"/>
                <c:pt idx="0">
                  <c:v>DIY File Folder, Office Drawer File Holder, Pen Holder, Desktop Storage Rack</c:v>
                </c:pt>
                <c:pt idx="1">
                  <c:v>Bedroom Simple Floor Hanging Clothes Rack Single Pole Hat Rack - White</c:v>
                </c:pt>
                <c:pt idx="2">
                  <c:v>Classic Black Cat Cotton Hemp Pillow Case For Home Car</c:v>
                </c:pt>
                <c:pt idx="3">
                  <c:v>Peacock  Throw Pillow Cushion Case For Home Car</c:v>
                </c:pt>
                <c:pt idx="4">
                  <c:v>Anti-Skid Absorbent Insulation Coaster  For Home Office</c:v>
                </c:pt>
                <c:pt idx="5">
                  <c:v>LASA Aluminum Folding Truck Hand Cart - 68kg Max</c:v>
                </c:pt>
                <c:pt idx="6">
                  <c:v>Konka Healty Electric Kettle, 24-hour Heat Preservation,1.5L,800W, White</c:v>
                </c:pt>
                <c:pt idx="7">
                  <c:v>LASA FOLDING TABLE SERVING STAND</c:v>
                </c:pt>
                <c:pt idx="8">
                  <c:v>40cm Gold DIY Acrylic Wall Sticker Clock</c:v>
                </c:pt>
                <c:pt idx="9">
                  <c:v>Portable Home Small Air Humidifier 3-Speed Fan - Green</c:v>
                </c:pt>
              </c:strCache>
            </c:strRef>
          </c:cat>
          <c:val>
            <c:numRef>
              <c:f>'By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4DA-41F9-87E3-832C15BAABF6}"/>
            </c:ext>
          </c:extLst>
        </c:ser>
        <c:dLbls>
          <c:dLblPos val="outEnd"/>
          <c:showLegendKey val="0"/>
          <c:showVal val="1"/>
          <c:showCatName val="0"/>
          <c:showSerName val="0"/>
          <c:showPercent val="0"/>
          <c:showBubbleSize val="0"/>
        </c:dLbls>
        <c:gapWidth val="100"/>
        <c:overlap val="-24"/>
        <c:axId val="657200223"/>
        <c:axId val="505052687"/>
      </c:barChart>
      <c:catAx>
        <c:axId val="657200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tx2"/>
                </a:solidFill>
                <a:latin typeface="+mn-lt"/>
                <a:ea typeface="+mn-ea"/>
                <a:cs typeface="+mn-cs"/>
              </a:defRPr>
            </a:pPr>
            <a:endParaRPr lang="en-US"/>
          </a:p>
        </c:txPr>
        <c:crossAx val="505052687"/>
        <c:crosses val="autoZero"/>
        <c:auto val="1"/>
        <c:lblAlgn val="ctr"/>
        <c:lblOffset val="100"/>
        <c:noMultiLvlLbl val="0"/>
      </c:catAx>
      <c:valAx>
        <c:axId val="505052687"/>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65720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[Excel_jumia_Assignment.xlsx]By discount category!PivotTable20</c:name>
    <c:fmtId val="9"/>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spc="0" baseline="0">
                <a:solidFill>
                  <a:srgbClr val="44546A"/>
                </a:solidFill>
                <a:latin typeface="+mn-lt"/>
                <a:ea typeface="+mn-ea"/>
                <a:cs typeface="+mn-cs"/>
              </a:rPr>
              <a:t>Product Review &amp; Rating By Discount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discount category'!$B$3</c:f>
              <c:strCache>
                <c:ptCount val="1"/>
                <c:pt idx="0">
                  <c:v>Count of Product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category'!$B$4:$B$7</c:f>
              <c:numCache>
                <c:formatCode>General</c:formatCode>
                <c:ptCount val="3"/>
                <c:pt idx="0">
                  <c:v>59</c:v>
                </c:pt>
                <c:pt idx="1">
                  <c:v>18</c:v>
                </c:pt>
                <c:pt idx="2">
                  <c:v>32</c:v>
                </c:pt>
              </c:numCache>
            </c:numRef>
          </c:val>
          <c:extLst>
            <c:ext xmlns:c16="http://schemas.microsoft.com/office/drawing/2014/chart" uri="{C3380CC4-5D6E-409C-BE32-E72D297353CC}">
              <c16:uniqueId val="{00000000-26FA-4B5D-AA50-D686B7B7A95C}"/>
            </c:ext>
          </c:extLst>
        </c:ser>
        <c:ser>
          <c:idx val="1"/>
          <c:order val="1"/>
          <c:tx>
            <c:strRef>
              <c:f>'By discount category'!$C$3</c:f>
              <c:strCache>
                <c:ptCount val="1"/>
                <c:pt idx="0">
                  <c:v>Sum of Review</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category'!$C$4:$C$7</c:f>
              <c:numCache>
                <c:formatCode>General</c:formatCode>
                <c:ptCount val="3"/>
                <c:pt idx="0">
                  <c:v>334</c:v>
                </c:pt>
                <c:pt idx="1">
                  <c:v>38</c:v>
                </c:pt>
                <c:pt idx="2">
                  <c:v>351</c:v>
                </c:pt>
              </c:numCache>
            </c:numRef>
          </c:val>
          <c:extLst>
            <c:ext xmlns:c16="http://schemas.microsoft.com/office/drawing/2014/chart" uri="{C3380CC4-5D6E-409C-BE32-E72D297353CC}">
              <c16:uniqueId val="{00000001-26FA-4B5D-AA50-D686B7B7A95C}"/>
            </c:ext>
          </c:extLst>
        </c:ser>
        <c:ser>
          <c:idx val="2"/>
          <c:order val="2"/>
          <c:tx>
            <c:strRef>
              <c:f>'By discount category'!$D$3</c:f>
              <c:strCache>
                <c:ptCount val="1"/>
                <c:pt idx="0">
                  <c:v>Sum of Rating</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discount category'!$A$4:$A$7</c:f>
              <c:strCache>
                <c:ptCount val="3"/>
                <c:pt idx="0">
                  <c:v>High Discount</c:v>
                </c:pt>
                <c:pt idx="1">
                  <c:v>Low Discount</c:v>
                </c:pt>
                <c:pt idx="2">
                  <c:v>Medium Discount</c:v>
                </c:pt>
              </c:strCache>
            </c:strRef>
          </c:cat>
          <c:val>
            <c:numRef>
              <c:f>'By discount category'!$D$4:$D$7</c:f>
              <c:numCache>
                <c:formatCode>General</c:formatCode>
                <c:ptCount val="3"/>
                <c:pt idx="0">
                  <c:v>108.39999999999999</c:v>
                </c:pt>
                <c:pt idx="1">
                  <c:v>14.899999999999999</c:v>
                </c:pt>
                <c:pt idx="2">
                  <c:v>98.4</c:v>
                </c:pt>
              </c:numCache>
            </c:numRef>
          </c:val>
          <c:extLst>
            <c:ext xmlns:c16="http://schemas.microsoft.com/office/drawing/2014/chart" uri="{C3380CC4-5D6E-409C-BE32-E72D297353CC}">
              <c16:uniqueId val="{00000002-26FA-4B5D-AA50-D686B7B7A95C}"/>
            </c:ext>
          </c:extLst>
        </c:ser>
        <c:dLbls>
          <c:dLblPos val="outEnd"/>
          <c:showLegendKey val="0"/>
          <c:showVal val="1"/>
          <c:showCatName val="0"/>
          <c:showSerName val="0"/>
          <c:showPercent val="0"/>
          <c:showBubbleSize val="0"/>
        </c:dLbls>
        <c:gapWidth val="219"/>
        <c:overlap val="-27"/>
        <c:axId val="1267181967"/>
        <c:axId val="972308287"/>
      </c:barChart>
      <c:catAx>
        <c:axId val="126718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2"/>
                </a:solidFill>
                <a:latin typeface="+mn-lt"/>
                <a:ea typeface="+mn-ea"/>
                <a:cs typeface="+mn-cs"/>
              </a:defRPr>
            </a:pPr>
            <a:endParaRPr lang="en-US"/>
          </a:p>
        </c:txPr>
        <c:crossAx val="972308287"/>
        <c:crosses val="autoZero"/>
        <c:auto val="1"/>
        <c:lblAlgn val="ctr"/>
        <c:lblOffset val="100"/>
        <c:noMultiLvlLbl val="0"/>
      </c:catAx>
      <c:valAx>
        <c:axId val="9723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6718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[Excel_jumia_Assignment.xlsx]Product distribution!PivotTable11</c:name>
    <c:fmtId val="2"/>
  </c:pivotSource>
  <c:chart>
    <c:title>
      <c:tx>
        <c:rich>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r>
              <a:rPr lang="en-US" sz="1600" b="1" i="0" u="none" strike="noStrike" kern="1200" spc="0" baseline="0">
                <a:solidFill>
                  <a:srgbClr val="44546A"/>
                </a:solidFill>
                <a:latin typeface="+mn-lt"/>
                <a:ea typeface="+mn-ea"/>
                <a:cs typeface="+mn-cs"/>
              </a:rPr>
              <a:t>Products distribution across rating categories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distribution'!$A$4:$A$8</c:f>
              <c:strCache>
                <c:ptCount val="4"/>
                <c:pt idx="0">
                  <c:v>Average Rating</c:v>
                </c:pt>
                <c:pt idx="1">
                  <c:v>Excellent Rating</c:v>
                </c:pt>
                <c:pt idx="2">
                  <c:v>N/A</c:v>
                </c:pt>
                <c:pt idx="3">
                  <c:v>Poor Rating</c:v>
                </c:pt>
              </c:strCache>
            </c:strRef>
          </c:cat>
          <c:val>
            <c:numRef>
              <c:f>'Product distribution'!$B$4:$B$8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1231-466A-BCAE-BF179D991603}"/>
            </c:ext>
          </c:extLst>
        </c:ser>
        <c:dLbls>
          <c:dLblPos val="outEnd"/>
          <c:showLegendKey val="0"/>
          <c:showVal val="1"/>
          <c:showCatName val="0"/>
          <c:showSerName val="0"/>
          <c:showPercent val="0"/>
          <c:showBubbleSize val="0"/>
        </c:dLbls>
        <c:gapWidth val="219"/>
        <c:overlap val="-27"/>
        <c:axId val="503733935"/>
        <c:axId val="403377247"/>
      </c:barChart>
      <c:catAx>
        <c:axId val="5037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2"/>
                </a:solidFill>
                <a:latin typeface="+mn-lt"/>
                <a:ea typeface="+mn-ea"/>
                <a:cs typeface="+mn-cs"/>
              </a:defRPr>
            </a:pPr>
            <a:endParaRPr lang="en-US"/>
          </a:p>
        </c:txPr>
        <c:crossAx val="403377247"/>
        <c:crosses val="autoZero"/>
        <c:auto val="1"/>
        <c:lblAlgn val="ctr"/>
        <c:lblOffset val="100"/>
        <c:noMultiLvlLbl val="0"/>
      </c:catAx>
      <c:valAx>
        <c:axId val="403377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373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66674</xdr:colOff>
      <xdr:row>5</xdr:row>
      <xdr:rowOff>185737</xdr:rowOff>
    </xdr:from>
    <xdr:to>
      <xdr:col>11</xdr:col>
      <xdr:colOff>171449</xdr:colOff>
      <xdr:row>21</xdr:row>
      <xdr:rowOff>85725</xdr:rowOff>
    </xdr:to>
    <xdr:graphicFrame macro="">
      <xdr:nvGraphicFramePr>
        <xdr:cNvPr id="2" name="Chart 1">
          <a:extLst>
            <a:ext uri="{FF2B5EF4-FFF2-40B4-BE49-F238E27FC236}">
              <a16:creationId xmlns:a16="http://schemas.microsoft.com/office/drawing/2014/main" id="{7CFC3274-1257-48A0-BF6E-6468E1E7F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295275</xdr:colOff>
      <xdr:row>23</xdr:row>
      <xdr:rowOff>171450</xdr:rowOff>
    </xdr:from>
    <xdr:to>
      <xdr:col>5</xdr:col>
      <xdr:colOff>295275</xdr:colOff>
      <xdr:row>37</xdr:row>
      <xdr:rowOff>28575</xdr:rowOff>
    </xdr:to>
    <mc:AlternateContent xmlns:mc="http://schemas.openxmlformats.org/markup-compatibility/2006" xmlns:a14="http://schemas.microsoft.com/office/drawing/2010/main">
      <mc:Choice Requires="a14">
        <xdr:graphicFrame macro="">
          <xdr:nvGraphicFramePr>
            <xdr:cNvPr id="6" name="Rating Category">
              <a:extLst>
                <a:ext uri="{FF2B5EF4-FFF2-40B4-BE49-F238E27FC236}">
                  <a16:creationId xmlns:a16="http://schemas.microsoft.com/office/drawing/2014/main" id="{3AEFFA09-DC34-439B-8E04-DC1645550016}"/>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381250" y="455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23</xdr:row>
      <xdr:rowOff>161925</xdr:rowOff>
    </xdr:from>
    <xdr:to>
      <xdr:col>10</xdr:col>
      <xdr:colOff>152400</xdr:colOff>
      <xdr:row>37</xdr:row>
      <xdr:rowOff>19050</xdr:rowOff>
    </xdr:to>
    <mc:AlternateContent xmlns:mc="http://schemas.openxmlformats.org/markup-compatibility/2006" xmlns:a14="http://schemas.microsoft.com/office/drawing/2010/main">
      <mc:Choice Requires="a14">
        <xdr:graphicFrame macro="">
          <xdr:nvGraphicFramePr>
            <xdr:cNvPr id="7" name="Discount Category">
              <a:extLst>
                <a:ext uri="{FF2B5EF4-FFF2-40B4-BE49-F238E27FC236}">
                  <a16:creationId xmlns:a16="http://schemas.microsoft.com/office/drawing/2014/main" id="{EDCDD4CE-F681-4CAB-A663-3711F92EA51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286375" y="4543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9</xdr:row>
      <xdr:rowOff>166687</xdr:rowOff>
    </xdr:from>
    <xdr:to>
      <xdr:col>12</xdr:col>
      <xdr:colOff>38100</xdr:colOff>
      <xdr:row>26</xdr:row>
      <xdr:rowOff>47625</xdr:rowOff>
    </xdr:to>
    <xdr:graphicFrame macro="">
      <xdr:nvGraphicFramePr>
        <xdr:cNvPr id="2" name="Chart 1">
          <a:extLst>
            <a:ext uri="{FF2B5EF4-FFF2-40B4-BE49-F238E27FC236}">
              <a16:creationId xmlns:a16="http://schemas.microsoft.com/office/drawing/2014/main" id="{367B1AC5-3023-48CF-BD85-ACB0A5982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12</xdr:row>
      <xdr:rowOff>176211</xdr:rowOff>
    </xdr:from>
    <xdr:to>
      <xdr:col>12</xdr:col>
      <xdr:colOff>285750</xdr:colOff>
      <xdr:row>29</xdr:row>
      <xdr:rowOff>66674</xdr:rowOff>
    </xdr:to>
    <xdr:graphicFrame macro="">
      <xdr:nvGraphicFramePr>
        <xdr:cNvPr id="2" name="Chart 1">
          <a:extLst>
            <a:ext uri="{FF2B5EF4-FFF2-40B4-BE49-F238E27FC236}">
              <a16:creationId xmlns:a16="http://schemas.microsoft.com/office/drawing/2014/main" id="{82EE0E99-622F-432C-8DFA-1CC813AB2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11</xdr:row>
      <xdr:rowOff>61911</xdr:rowOff>
    </xdr:from>
    <xdr:to>
      <xdr:col>11</xdr:col>
      <xdr:colOff>247650</xdr:colOff>
      <xdr:row>28</xdr:row>
      <xdr:rowOff>85724</xdr:rowOff>
    </xdr:to>
    <xdr:graphicFrame macro="">
      <xdr:nvGraphicFramePr>
        <xdr:cNvPr id="2" name="Chart 1">
          <a:extLst>
            <a:ext uri="{FF2B5EF4-FFF2-40B4-BE49-F238E27FC236}">
              <a16:creationId xmlns:a16="http://schemas.microsoft.com/office/drawing/2014/main" id="{71F2ED5F-82D2-427A-BEDA-3C5227D44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371475</xdr:colOff>
      <xdr:row>9</xdr:row>
      <xdr:rowOff>33337</xdr:rowOff>
    </xdr:from>
    <xdr:to>
      <xdr:col>11</xdr:col>
      <xdr:colOff>66675</xdr:colOff>
      <xdr:row>23</xdr:row>
      <xdr:rowOff>109537</xdr:rowOff>
    </xdr:to>
    <xdr:graphicFrame macro="">
      <xdr:nvGraphicFramePr>
        <xdr:cNvPr id="2" name="Chart 1">
          <a:extLst>
            <a:ext uri="{FF2B5EF4-FFF2-40B4-BE49-F238E27FC236}">
              <a16:creationId xmlns:a16="http://schemas.microsoft.com/office/drawing/2014/main" id="{BDE3F714-BB96-48C7-A292-6252C9FDE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2552699</xdr:colOff>
      <xdr:row>17</xdr:row>
      <xdr:rowOff>138111</xdr:rowOff>
    </xdr:from>
    <xdr:to>
      <xdr:col>4</xdr:col>
      <xdr:colOff>238124</xdr:colOff>
      <xdr:row>32</xdr:row>
      <xdr:rowOff>104774</xdr:rowOff>
    </xdr:to>
    <xdr:graphicFrame macro="">
      <xdr:nvGraphicFramePr>
        <xdr:cNvPr id="4" name="Chart 3">
          <a:extLst>
            <a:ext uri="{FF2B5EF4-FFF2-40B4-BE49-F238E27FC236}">
              <a16:creationId xmlns:a16="http://schemas.microsoft.com/office/drawing/2014/main" id="{64995835-6698-48AB-B2C6-6D77A435D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2905124</xdr:colOff>
      <xdr:row>15</xdr:row>
      <xdr:rowOff>100011</xdr:rowOff>
    </xdr:from>
    <xdr:to>
      <xdr:col>6</xdr:col>
      <xdr:colOff>190499</xdr:colOff>
      <xdr:row>31</xdr:row>
      <xdr:rowOff>28574</xdr:rowOff>
    </xdr:to>
    <xdr:graphicFrame macro="">
      <xdr:nvGraphicFramePr>
        <xdr:cNvPr id="2" name="Chart 1">
          <a:extLst>
            <a:ext uri="{FF2B5EF4-FFF2-40B4-BE49-F238E27FC236}">
              <a16:creationId xmlns:a16="http://schemas.microsoft.com/office/drawing/2014/main" id="{6E5DA9E1-CCE1-401F-95D9-9F2210198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457200</xdr:colOff>
      <xdr:row>15</xdr:row>
      <xdr:rowOff>185737</xdr:rowOff>
    </xdr:from>
    <xdr:to>
      <xdr:col>1</xdr:col>
      <xdr:colOff>971550</xdr:colOff>
      <xdr:row>32</xdr:row>
      <xdr:rowOff>142875</xdr:rowOff>
    </xdr:to>
    <xdr:graphicFrame macro="">
      <xdr:nvGraphicFramePr>
        <xdr:cNvPr id="2" name="Chart 1">
          <a:extLst>
            <a:ext uri="{FF2B5EF4-FFF2-40B4-BE49-F238E27FC236}">
              <a16:creationId xmlns:a16="http://schemas.microsoft.com/office/drawing/2014/main" id="{BDBFBE86-40E0-4477-ACF4-0E69858FB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3</xdr:row>
      <xdr:rowOff>185737</xdr:rowOff>
    </xdr:from>
    <xdr:to>
      <xdr:col>12</xdr:col>
      <xdr:colOff>428625</xdr:colOff>
      <xdr:row>19</xdr:row>
      <xdr:rowOff>152401</xdr:rowOff>
    </xdr:to>
    <xdr:graphicFrame macro="">
      <xdr:nvGraphicFramePr>
        <xdr:cNvPr id="3" name="Chart 2">
          <a:extLst>
            <a:ext uri="{FF2B5EF4-FFF2-40B4-BE49-F238E27FC236}">
              <a16:creationId xmlns:a16="http://schemas.microsoft.com/office/drawing/2014/main" id="{5FE8E5FD-E0C5-4393-8D7C-3E7AB325C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200025</xdr:colOff>
      <xdr:row>15</xdr:row>
      <xdr:rowOff>128587</xdr:rowOff>
    </xdr:from>
    <xdr:to>
      <xdr:col>7</xdr:col>
      <xdr:colOff>171450</xdr:colOff>
      <xdr:row>30</xdr:row>
      <xdr:rowOff>14287</xdr:rowOff>
    </xdr:to>
    <xdr:graphicFrame macro="">
      <xdr:nvGraphicFramePr>
        <xdr:cNvPr id="2" name="Chart 1">
          <a:extLst>
            <a:ext uri="{FF2B5EF4-FFF2-40B4-BE49-F238E27FC236}">
              <a16:creationId xmlns:a16="http://schemas.microsoft.com/office/drawing/2014/main" id="{E7B39448-8FD2-420B-9FAE-154AC36A3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238125</xdr:colOff>
      <xdr:row>6</xdr:row>
      <xdr:rowOff>176212</xdr:rowOff>
    </xdr:from>
    <xdr:to>
      <xdr:col>14</xdr:col>
      <xdr:colOff>542925</xdr:colOff>
      <xdr:row>21</xdr:row>
      <xdr:rowOff>61912</xdr:rowOff>
    </xdr:to>
    <xdr:graphicFrame macro="">
      <xdr:nvGraphicFramePr>
        <xdr:cNvPr id="2" name="Chart 1">
          <a:extLst>
            <a:ext uri="{FF2B5EF4-FFF2-40B4-BE49-F238E27FC236}">
              <a16:creationId xmlns:a16="http://schemas.microsoft.com/office/drawing/2014/main" id="{0DA93FDE-9180-49D9-A8B8-E837DB047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18</xdr:row>
      <xdr:rowOff>4762</xdr:rowOff>
    </xdr:from>
    <xdr:to>
      <xdr:col>6</xdr:col>
      <xdr:colOff>476250</xdr:colOff>
      <xdr:row>32</xdr:row>
      <xdr:rowOff>80962</xdr:rowOff>
    </xdr:to>
    <xdr:graphicFrame macro="">
      <xdr:nvGraphicFramePr>
        <xdr:cNvPr id="3" name="Chart 2">
          <a:extLst>
            <a:ext uri="{FF2B5EF4-FFF2-40B4-BE49-F238E27FC236}">
              <a16:creationId xmlns:a16="http://schemas.microsoft.com/office/drawing/2014/main" id="{21B7F4C9-FC24-49E2-AA2E-E04836BB0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10</xdr:row>
      <xdr:rowOff>76200</xdr:rowOff>
    </xdr:from>
    <xdr:to>
      <xdr:col>3</xdr:col>
      <xdr:colOff>200025</xdr:colOff>
      <xdr:row>23</xdr:row>
      <xdr:rowOff>123825</xdr:rowOff>
    </xdr:to>
    <mc:AlternateContent xmlns:mc="http://schemas.openxmlformats.org/markup-compatibility/2006" xmlns:a14="http://schemas.microsoft.com/office/drawing/2010/main">
      <mc:Choice Requires="a14">
        <xdr:graphicFrame macro="">
          <xdr:nvGraphicFramePr>
            <xdr:cNvPr id="2" name="Current price range">
              <a:extLst>
                <a:ext uri="{FF2B5EF4-FFF2-40B4-BE49-F238E27FC236}">
                  <a16:creationId xmlns:a16="http://schemas.microsoft.com/office/drawing/2014/main" id="{BB4F773A-CAF9-48EB-965F-17F991BCB46F}"/>
                </a:ext>
              </a:extLst>
            </xdr:cNvPr>
            <xdr:cNvGraphicFramePr/>
          </xdr:nvGraphicFramePr>
          <xdr:xfrm>
            <a:off x="0" y="0"/>
            <a:ext cx="0" cy="0"/>
          </xdr:xfrm>
          <a:graphic>
            <a:graphicData uri="http://schemas.microsoft.com/office/drawing/2010/slicer">
              <sle:slicer xmlns:sle="http://schemas.microsoft.com/office/drawing/2010/slicer" name="Current price range"/>
            </a:graphicData>
          </a:graphic>
        </xdr:graphicFrame>
      </mc:Choice>
      <mc:Fallback xmlns="">
        <xdr:sp macro="" textlink="">
          <xdr:nvSpPr>
            <xdr:cNvPr id="0" name=""/>
            <xdr:cNvSpPr>
              <a:spLocks noTextEdit="1"/>
            </xdr:cNvSpPr>
          </xdr:nvSpPr>
          <xdr:spPr>
            <a:xfrm>
              <a:off x="1524000" y="1981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7</xdr:col>
      <xdr:colOff>523875</xdr:colOff>
      <xdr:row>1</xdr:row>
      <xdr:rowOff>28575</xdr:rowOff>
    </xdr:from>
    <xdr:to>
      <xdr:col>23</xdr:col>
      <xdr:colOff>23813</xdr:colOff>
      <xdr:row>4</xdr:row>
      <xdr:rowOff>104775</xdr:rowOff>
    </xdr:to>
    <xdr:sp macro="" textlink="">
      <xdr:nvSpPr>
        <xdr:cNvPr id="5" name="Rectangle: Rounded Corners 4">
          <a:extLst>
            <a:ext uri="{FF2B5EF4-FFF2-40B4-BE49-F238E27FC236}">
              <a16:creationId xmlns:a16="http://schemas.microsoft.com/office/drawing/2014/main" id="{DFC194C4-19CA-4DE9-AFFC-06035E923E84}"/>
            </a:ext>
          </a:extLst>
        </xdr:cNvPr>
        <xdr:cNvSpPr/>
      </xdr:nvSpPr>
      <xdr:spPr>
        <a:xfrm>
          <a:off x="4774406" y="219075"/>
          <a:ext cx="9215438"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		</a:t>
          </a:r>
          <a:r>
            <a:rPr lang="en-US" sz="2800" b="1"/>
            <a:t>JUMIA PRODUCT</a:t>
          </a:r>
          <a:r>
            <a:rPr lang="en-US" sz="2800" b="1" baseline="0"/>
            <a:t> ANALYSIS DASHBOARD</a:t>
          </a:r>
          <a:endParaRPr lang="en-US" sz="2800" b="1"/>
        </a:p>
      </xdr:txBody>
    </xdr:sp>
    <xdr:clientData/>
  </xdr:twoCellAnchor>
  <xdr:twoCellAnchor>
    <xdr:from>
      <xdr:col>3</xdr:col>
      <xdr:colOff>566737</xdr:colOff>
      <xdr:row>5</xdr:row>
      <xdr:rowOff>111920</xdr:rowOff>
    </xdr:from>
    <xdr:to>
      <xdr:col>9</xdr:col>
      <xdr:colOff>271462</xdr:colOff>
      <xdr:row>7</xdr:row>
      <xdr:rowOff>169070</xdr:rowOff>
    </xdr:to>
    <xdr:sp macro="" textlink="">
      <xdr:nvSpPr>
        <xdr:cNvPr id="7" name="Rectangle: Rounded Corners 6">
          <a:extLst>
            <a:ext uri="{FF2B5EF4-FFF2-40B4-BE49-F238E27FC236}">
              <a16:creationId xmlns:a16="http://schemas.microsoft.com/office/drawing/2014/main" id="{89579A27-BB30-4B9F-89E5-45EADE5C3319}"/>
            </a:ext>
          </a:extLst>
        </xdr:cNvPr>
        <xdr:cNvSpPr/>
      </xdr:nvSpPr>
      <xdr:spPr>
        <a:xfrm>
          <a:off x="2388393" y="1064420"/>
          <a:ext cx="3348038"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NUMBER</a:t>
          </a:r>
          <a:r>
            <a:rPr lang="en-US" sz="1600" b="1" baseline="0"/>
            <a:t> OF PRODUCTS - 109</a:t>
          </a:r>
          <a:endParaRPr lang="en-US" sz="1600" b="1"/>
        </a:p>
      </xdr:txBody>
    </xdr:sp>
    <xdr:clientData/>
  </xdr:twoCellAnchor>
  <xdr:twoCellAnchor>
    <xdr:from>
      <xdr:col>10</xdr:col>
      <xdr:colOff>297657</xdr:colOff>
      <xdr:row>5</xdr:row>
      <xdr:rowOff>133350</xdr:rowOff>
    </xdr:from>
    <xdr:to>
      <xdr:col>15</xdr:col>
      <xdr:colOff>357188</xdr:colOff>
      <xdr:row>8</xdr:row>
      <xdr:rowOff>9525</xdr:rowOff>
    </xdr:to>
    <xdr:sp macro="" textlink="">
      <xdr:nvSpPr>
        <xdr:cNvPr id="9" name="Rectangle: Rounded Corners 8">
          <a:extLst>
            <a:ext uri="{FF2B5EF4-FFF2-40B4-BE49-F238E27FC236}">
              <a16:creationId xmlns:a16="http://schemas.microsoft.com/office/drawing/2014/main" id="{2918FC3A-A5B0-4A90-803F-353A17BA2E45}"/>
            </a:ext>
          </a:extLst>
        </xdr:cNvPr>
        <xdr:cNvSpPr/>
      </xdr:nvSpPr>
      <xdr:spPr>
        <a:xfrm>
          <a:off x="6369845" y="1085850"/>
          <a:ext cx="3095624"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a:t>
          </a:r>
          <a:r>
            <a:rPr lang="en-US" sz="1600" b="1" baseline="0"/>
            <a:t> RATING - 3.89</a:t>
          </a:r>
          <a:endParaRPr lang="en-US" sz="1600" b="1"/>
        </a:p>
      </xdr:txBody>
    </xdr:sp>
    <xdr:clientData/>
  </xdr:twoCellAnchor>
  <xdr:twoCellAnchor>
    <xdr:from>
      <xdr:col>16</xdr:col>
      <xdr:colOff>438148</xdr:colOff>
      <xdr:row>5</xdr:row>
      <xdr:rowOff>107156</xdr:rowOff>
    </xdr:from>
    <xdr:to>
      <xdr:col>22</xdr:col>
      <xdr:colOff>226217</xdr:colOff>
      <xdr:row>7</xdr:row>
      <xdr:rowOff>173831</xdr:rowOff>
    </xdr:to>
    <xdr:sp macro="" textlink="">
      <xdr:nvSpPr>
        <xdr:cNvPr id="10" name="Rectangle: Rounded Corners 9">
          <a:extLst>
            <a:ext uri="{FF2B5EF4-FFF2-40B4-BE49-F238E27FC236}">
              <a16:creationId xmlns:a16="http://schemas.microsoft.com/office/drawing/2014/main" id="{808A1132-A5D2-4EC8-9851-12A1E8735320}"/>
            </a:ext>
          </a:extLst>
        </xdr:cNvPr>
        <xdr:cNvSpPr/>
      </xdr:nvSpPr>
      <xdr:spPr>
        <a:xfrm>
          <a:off x="10153648" y="1059656"/>
          <a:ext cx="3431382"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DISCOUNT % - 36.32%</a:t>
          </a:r>
        </a:p>
      </xdr:txBody>
    </xdr:sp>
    <xdr:clientData/>
  </xdr:twoCellAnchor>
  <xdr:twoCellAnchor>
    <xdr:from>
      <xdr:col>23</xdr:col>
      <xdr:colOff>495300</xdr:colOff>
      <xdr:row>5</xdr:row>
      <xdr:rowOff>102394</xdr:rowOff>
    </xdr:from>
    <xdr:to>
      <xdr:col>29</xdr:col>
      <xdr:colOff>83343</xdr:colOff>
      <xdr:row>7</xdr:row>
      <xdr:rowOff>169069</xdr:rowOff>
    </xdr:to>
    <xdr:sp macro="" textlink="">
      <xdr:nvSpPr>
        <xdr:cNvPr id="11" name="Rectangle: Rounded Corners 10">
          <a:extLst>
            <a:ext uri="{FF2B5EF4-FFF2-40B4-BE49-F238E27FC236}">
              <a16:creationId xmlns:a16="http://schemas.microsoft.com/office/drawing/2014/main" id="{0461E4BD-EA3D-46B6-8E6B-D5A70A1A6A5B}"/>
            </a:ext>
          </a:extLst>
        </xdr:cNvPr>
        <xdr:cNvSpPr/>
      </xdr:nvSpPr>
      <xdr:spPr>
        <a:xfrm>
          <a:off x="14461331" y="1054894"/>
          <a:ext cx="3231356"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NO. OF REVIEWS - 723</a:t>
          </a:r>
        </a:p>
      </xdr:txBody>
    </xdr:sp>
    <xdr:clientData/>
  </xdr:twoCellAnchor>
  <xdr:twoCellAnchor>
    <xdr:from>
      <xdr:col>20</xdr:col>
      <xdr:colOff>511969</xdr:colOff>
      <xdr:row>8</xdr:row>
      <xdr:rowOff>142875</xdr:rowOff>
    </xdr:from>
    <xdr:to>
      <xdr:col>29</xdr:col>
      <xdr:colOff>190500</xdr:colOff>
      <xdr:row>26</xdr:row>
      <xdr:rowOff>35719</xdr:rowOff>
    </xdr:to>
    <xdr:graphicFrame macro="">
      <xdr:nvGraphicFramePr>
        <xdr:cNvPr id="13" name="Chart 12">
          <a:extLst>
            <a:ext uri="{FF2B5EF4-FFF2-40B4-BE49-F238E27FC236}">
              <a16:creationId xmlns:a16="http://schemas.microsoft.com/office/drawing/2014/main" id="{50B65FC7-0AC1-4989-8038-9C58B2153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266700</xdr:colOff>
      <xdr:row>8</xdr:row>
      <xdr:rowOff>180975</xdr:rowOff>
    </xdr:from>
    <xdr:to>
      <xdr:col>3</xdr:col>
      <xdr:colOff>266700</xdr:colOff>
      <xdr:row>22</xdr:row>
      <xdr:rowOff>38100</xdr:rowOff>
    </xdr:to>
    <mc:AlternateContent xmlns:mc="http://schemas.openxmlformats.org/markup-compatibility/2006" xmlns:a14="http://schemas.microsoft.com/office/drawing/2010/main">
      <mc:Choice Requires="a14">
        <xdr:graphicFrame macro="">
          <xdr:nvGraphicFramePr>
            <xdr:cNvPr id="15" name="Rating Category 1">
              <a:extLst>
                <a:ext uri="{FF2B5EF4-FFF2-40B4-BE49-F238E27FC236}">
                  <a16:creationId xmlns:a16="http://schemas.microsoft.com/office/drawing/2014/main" id="{01A136E0-A635-48CB-9488-D479F6EA5F20}"/>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266700" y="1704975"/>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22</xdr:row>
      <xdr:rowOff>152400</xdr:rowOff>
    </xdr:from>
    <xdr:to>
      <xdr:col>3</xdr:col>
      <xdr:colOff>276225</xdr:colOff>
      <xdr:row>36</xdr:row>
      <xdr:rowOff>9525</xdr:rowOff>
    </xdr:to>
    <mc:AlternateContent xmlns:mc="http://schemas.openxmlformats.org/markup-compatibility/2006" xmlns:a14="http://schemas.microsoft.com/office/drawing/2010/main">
      <mc:Choice Requires="a14">
        <xdr:graphicFrame macro="">
          <xdr:nvGraphicFramePr>
            <xdr:cNvPr id="16" name="Discount Category 1">
              <a:extLst>
                <a:ext uri="{FF2B5EF4-FFF2-40B4-BE49-F238E27FC236}">
                  <a16:creationId xmlns:a16="http://schemas.microsoft.com/office/drawing/2014/main" id="{691DB5FD-9A18-45E7-BEC0-5ADB85D86FB7}"/>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76225" y="4343400"/>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447148</xdr:colOff>
      <xdr:row>43</xdr:row>
      <xdr:rowOff>88634</xdr:rowOff>
    </xdr:from>
    <xdr:to>
      <xdr:col>12</xdr:col>
      <xdr:colOff>59532</xdr:colOff>
      <xdr:row>59</xdr:row>
      <xdr:rowOff>107156</xdr:rowOff>
    </xdr:to>
    <xdr:graphicFrame macro="">
      <xdr:nvGraphicFramePr>
        <xdr:cNvPr id="17" name="Chart 16">
          <a:extLst>
            <a:ext uri="{FF2B5EF4-FFF2-40B4-BE49-F238E27FC236}">
              <a16:creationId xmlns:a16="http://schemas.microsoft.com/office/drawing/2014/main" id="{88C2DFA9-898D-4EA7-BAA4-9F62E5943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526520</xdr:colOff>
      <xdr:row>26</xdr:row>
      <xdr:rowOff>179915</xdr:rowOff>
    </xdr:from>
    <xdr:to>
      <xdr:col>29</xdr:col>
      <xdr:colOff>214312</xdr:colOff>
      <xdr:row>42</xdr:row>
      <xdr:rowOff>142874</xdr:rowOff>
    </xdr:to>
    <xdr:graphicFrame macro="">
      <xdr:nvGraphicFramePr>
        <xdr:cNvPr id="18" name="Chart 17">
          <a:extLst>
            <a:ext uri="{FF2B5EF4-FFF2-40B4-BE49-F238E27FC236}">
              <a16:creationId xmlns:a16="http://schemas.microsoft.com/office/drawing/2014/main" id="{CC2C04EF-ACCB-4C40-A362-CF4689793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251355</xdr:colOff>
      <xdr:row>26</xdr:row>
      <xdr:rowOff>141552</xdr:rowOff>
    </xdr:from>
    <xdr:to>
      <xdr:col>20</xdr:col>
      <xdr:colOff>357187</xdr:colOff>
      <xdr:row>42</xdr:row>
      <xdr:rowOff>142875</xdr:rowOff>
    </xdr:to>
    <xdr:graphicFrame macro="">
      <xdr:nvGraphicFramePr>
        <xdr:cNvPr id="21" name="Chart 20">
          <a:extLst>
            <a:ext uri="{FF2B5EF4-FFF2-40B4-BE49-F238E27FC236}">
              <a16:creationId xmlns:a16="http://schemas.microsoft.com/office/drawing/2014/main" id="{2253E923-0CB0-4FFB-B96B-7B062E92C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260614</xdr:colOff>
      <xdr:row>8</xdr:row>
      <xdr:rowOff>138906</xdr:rowOff>
    </xdr:from>
    <xdr:to>
      <xdr:col>20</xdr:col>
      <xdr:colOff>381000</xdr:colOff>
      <xdr:row>26</xdr:row>
      <xdr:rowOff>59532</xdr:rowOff>
    </xdr:to>
    <xdr:graphicFrame macro="">
      <xdr:nvGraphicFramePr>
        <xdr:cNvPr id="23" name="Chart 22">
          <a:extLst>
            <a:ext uri="{FF2B5EF4-FFF2-40B4-BE49-F238E27FC236}">
              <a16:creationId xmlns:a16="http://schemas.microsoft.com/office/drawing/2014/main" id="{EC385048-091C-435D-9187-97C1FC5E1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452437</xdr:colOff>
      <xdr:row>8</xdr:row>
      <xdr:rowOff>119060</xdr:rowOff>
    </xdr:from>
    <xdr:to>
      <xdr:col>12</xdr:col>
      <xdr:colOff>130969</xdr:colOff>
      <xdr:row>26</xdr:row>
      <xdr:rowOff>35718</xdr:rowOff>
    </xdr:to>
    <xdr:graphicFrame macro="">
      <xdr:nvGraphicFramePr>
        <xdr:cNvPr id="24" name="Chart 23">
          <a:extLst>
            <a:ext uri="{FF2B5EF4-FFF2-40B4-BE49-F238E27FC236}">
              <a16:creationId xmlns:a16="http://schemas.microsoft.com/office/drawing/2014/main" id="{95719F86-914E-4744-AEF2-1DC4F0E2A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452439</xdr:colOff>
      <xdr:row>26</xdr:row>
      <xdr:rowOff>130969</xdr:rowOff>
    </xdr:from>
    <xdr:to>
      <xdr:col>12</xdr:col>
      <xdr:colOff>130969</xdr:colOff>
      <xdr:row>42</xdr:row>
      <xdr:rowOff>130969</xdr:rowOff>
    </xdr:to>
    <xdr:graphicFrame macro="">
      <xdr:nvGraphicFramePr>
        <xdr:cNvPr id="25" name="Chart 24">
          <a:extLst>
            <a:ext uri="{FF2B5EF4-FFF2-40B4-BE49-F238E27FC236}">
              <a16:creationId xmlns:a16="http://schemas.microsoft.com/office/drawing/2014/main" id="{9690934B-8C74-41FC-92E4-547BA3F31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238123</xdr:colOff>
      <xdr:row>43</xdr:row>
      <xdr:rowOff>119062</xdr:rowOff>
    </xdr:from>
    <xdr:to>
      <xdr:col>20</xdr:col>
      <xdr:colOff>345280</xdr:colOff>
      <xdr:row>59</xdr:row>
      <xdr:rowOff>107155</xdr:rowOff>
    </xdr:to>
    <xdr:graphicFrame macro="">
      <xdr:nvGraphicFramePr>
        <xdr:cNvPr id="26" name="Chart 25">
          <a:extLst>
            <a:ext uri="{FF2B5EF4-FFF2-40B4-BE49-F238E27FC236}">
              <a16:creationId xmlns:a16="http://schemas.microsoft.com/office/drawing/2014/main" id="{7EBCC55A-5B58-4107-8A0F-9F7ED22B6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511969</xdr:colOff>
      <xdr:row>43</xdr:row>
      <xdr:rowOff>130967</xdr:rowOff>
    </xdr:from>
    <xdr:to>
      <xdr:col>29</xdr:col>
      <xdr:colOff>238125</xdr:colOff>
      <xdr:row>59</xdr:row>
      <xdr:rowOff>95250</xdr:rowOff>
    </xdr:to>
    <xdr:graphicFrame macro="">
      <xdr:nvGraphicFramePr>
        <xdr:cNvPr id="27" name="Chart 26">
          <a:extLst>
            <a:ext uri="{FF2B5EF4-FFF2-40B4-BE49-F238E27FC236}">
              <a16:creationId xmlns:a16="http://schemas.microsoft.com/office/drawing/2014/main" id="{E7365710-4356-4090-AF1E-B34F09245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718856134263" createdVersion="6" refreshedVersion="6" minRefreshableVersion="3" recordCount="109" xr:uid="{00000000-000A-0000-FFFF-FFFF84000000}">
  <cacheSource type="worksheet">
    <worksheetSource ref="A1:I110" sheet="Excel_jumia"/>
  </cacheSource>
  <cacheFields count="9">
    <cacheField name="Product" numFmtId="0">
      <sharedItems count="109">
        <s v="32PCS Portable Cordless Drill Set With Cyclic Battery Drive -26 Variable Speed"/>
        <s v="Konka Healty Electric Kettle, 24-hour Heat Preservation,1.5L,800W, White"/>
        <s v="Metal Wall Clock Silver Dial Crystal Jewelry Round Home Decoration Wall Clock"/>
        <s v="LED Wall Digital Alarm Clock Study Home 12 / 24H Clock Calendar"/>
        <s v="220V 60W Electric Soldering Iron Kits With Tools, Tips, And Multimete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Ice Silk Square Cushion Cover Pillowcases - 65x65cm"/>
        <s v="2pcs Solar Street Light Flood Light Outdoor"/>
        <s v="Cartoon Embroidered Mini Towel Bear Cotton Wash Cloth Hand 4pcs"/>
        <s v="60W Hot Melt Glue Sprayer - Efficient And Stable Glue Dispensing"/>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Artificial Potted Flowers Room Decorative Flowers (2 Pieces)"/>
        <s v="100 Pcs Crochet Hook Tool Set Knitting Hook Set With Box"/>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Cute Christmas Fence Garden Decorations For Holiday Home"/>
        <s v="Genebre 115 In 1 Screwdriver Repairing Tool Set For IPhone Cellphone Hand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164">
      <sharedItems containsSemiMixedTypes="0" containsString="0" containsNumber="1" containsInteger="1" minValue="38" maxValue="3750" count="100">
        <n v="3750"/>
        <n v="3640"/>
        <n v="3546"/>
        <n v="2999"/>
        <n v="2880"/>
        <n v="2799"/>
        <n v="2750"/>
        <n v="2319"/>
        <n v="2300"/>
        <n v="2200"/>
        <n v="2199"/>
        <n v="2170"/>
        <n v="2132"/>
        <n v="2115"/>
        <n v="2048"/>
        <n v="2025"/>
        <n v="1980"/>
        <n v="1940"/>
        <n v="1875"/>
        <n v="1860"/>
        <n v="1820"/>
        <n v="1800"/>
        <n v="1768"/>
        <n v="1758"/>
        <n v="1740"/>
        <n v="1732"/>
        <n v="1680"/>
        <n v="1666"/>
        <n v="1660"/>
        <n v="1658"/>
        <n v="1650"/>
        <n v="1620"/>
        <n v="1600"/>
        <n v="1580"/>
        <n v="1570"/>
        <n v="1526"/>
        <n v="1468"/>
        <n v="1466"/>
        <n v="1462"/>
        <n v="1460"/>
        <n v="1459"/>
        <n v="1420"/>
        <n v="1350"/>
        <n v="1300"/>
        <n v="1274"/>
        <n v="1220"/>
        <n v="1200"/>
        <n v="1190"/>
        <n v="1189"/>
        <n v="1150"/>
        <n v="1080"/>
        <n v="1000"/>
        <n v="999"/>
        <n v="998"/>
        <n v="990"/>
        <n v="988"/>
        <n v="980"/>
        <n v="979"/>
        <n v="968"/>
        <n v="950"/>
        <n v="899"/>
        <n v="880"/>
        <n v="850"/>
        <n v="799"/>
        <n v="790"/>
        <n v="699"/>
        <n v="690"/>
        <n v="671"/>
        <n v="630"/>
        <n v="610"/>
        <n v="552"/>
        <n v="527"/>
        <n v="525"/>
        <n v="509"/>
        <n v="501"/>
        <n v="499"/>
        <n v="475"/>
        <n v="458"/>
        <n v="450"/>
        <n v="445"/>
        <n v="420"/>
        <n v="389"/>
        <n v="382"/>
        <n v="345"/>
        <n v="332"/>
        <n v="330"/>
        <n v="325"/>
        <n v="299"/>
        <n v="274"/>
        <n v="248"/>
        <n v="238"/>
        <n v="230"/>
        <n v="199"/>
        <n v="198"/>
        <n v="195"/>
        <n v="185"/>
        <n v="171"/>
        <n v="169"/>
        <n v="105"/>
        <n v="38"/>
      </sharedItems>
      <fieldGroup base="1">
        <rangePr startNum="38" endNum="3750" groupInterval="500"/>
        <groupItems count="10">
          <s v="&lt;38"/>
          <s v="38-537"/>
          <s v="538-1037"/>
          <s v="1038-1537"/>
          <s v="1538-2037"/>
          <s v="2038-2537"/>
          <s v="2538-3037"/>
          <s v="3038-3537"/>
          <s v="3538-4037"/>
          <s v="&gt;4038"/>
        </groupItems>
      </fieldGroup>
    </cacheField>
    <cacheField name="Old price" numFmtId="164">
      <sharedItems containsSemiMixedTypes="0" containsString="0" containsNumber="1" containsInteger="1" minValue="80" maxValue="6143"/>
    </cacheField>
    <cacheField name="Discount" numFmtId="10">
      <sharedItems containsSemiMixedTypes="0" containsString="0" containsNumber="1" minValue="1.2638230647709321E-2" maxValue="0.64014466546112114" count="102">
        <n v="0.38954908025394758"/>
        <n v="0.20662598081952921"/>
        <n v="4.1362530413625302E-2"/>
        <n v="0.18924033522573669"/>
        <n v="8.8449848024316116E-2"/>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6E-2"/>
        <n v="0.36244541484716158"/>
        <n v="2.6684456304202801E-2"/>
        <n v="0.41322314049586778"/>
        <n v="0.32160804020100503"/>
        <n v="0.48"/>
        <n v="0.54500000000000004"/>
        <n v="0.21543408360128619"/>
        <n v="0.5"/>
        <n v="0.38461538461538464"/>
        <n v="0.34254143646408841"/>
        <n v="0.45929968167348795"/>
        <n v="0.3379389752446747"/>
        <n v="0.42369263607257202"/>
        <n v="0.50049999999999994"/>
        <n v="0.49237029501525942"/>
        <n v="0.45424476295479604"/>
        <n v="0.34"/>
        <n v="0.37468354430379747"/>
        <n v="0.34228187919463088"/>
        <n v="0.49010416666666667"/>
        <n v="0.46637265711135611"/>
        <n v="0.37704918032786883"/>
        <n v="0.47086521483225424"/>
        <n v="0.34814814814814815"/>
        <n v="0.49010848755583919"/>
        <n v="0.4050632911392405"/>
        <n v="0.20020020020020021"/>
        <n v="0.11222222222222222"/>
        <n v="0.46801346801346799"/>
        <n v="0.47952345495160087"/>
        <n v="0.42499999999999999"/>
        <n v="0.49012158054711247"/>
        <n v="0.42727272727272725"/>
        <n v="0.42452830188679247"/>
        <n v="0.46666666666666667"/>
        <n v="0.47247247247247248"/>
        <n v="0.48979591836734693"/>
        <n v="0.43381535038932145"/>
        <n v="0.41744186046511628"/>
        <n v="0.44555555555555554"/>
        <n v="0.53549695740365111"/>
        <n v="0.49026345933562426"/>
        <n v="0.3508500772797527"/>
        <n v="0.40701219512195119"/>
        <n v="0.45428571428571429"/>
        <n v="0.42691029900332228"/>
        <n v="0.51461988304093564"/>
        <n v="0.48995363214837712"/>
        <n v="0.5220588235294118"/>
        <n v="0.50166666666666671"/>
        <n v="0.22135416666666666"/>
        <n v="0.48975791433891991"/>
        <n v="0.48971193415637859"/>
        <n v="0.48888888888888887"/>
        <n v="0.64014466546112114"/>
        <n v="0.60515873015873012"/>
        <n v="0.23846153846153847"/>
        <n v="0.45833333333333331"/>
        <n v="0.51570680628272247"/>
        <n v="0.52500000000000002"/>
        <n v="0.47187499999999999"/>
        <n v="0.47499999999999998"/>
      </sharedItems>
      <fieldGroup base="3">
        <rangePr startNum="1.2638230647709321E-2" endNum="0.64014466546112114" groupInterval="0.05"/>
        <groupItems count="15">
          <s v="&lt;0.0126382306477093"/>
          <s v="0.0126382306477093-0.0626382306477093"/>
          <s v="0.0626382306477093-0.112638230647709"/>
          <s v="0.112638230647709-0.162638230647709"/>
          <s v="0.162638230647709-0.212638230647709"/>
          <s v="0.212638230647709-0.262638230647709"/>
          <s v="0.262638230647709-0.312638230647709"/>
          <s v="0.312638230647709-0.362638230647709"/>
          <s v="0.362638230647709-0.412638230647709"/>
          <s v="0.412638230647709-0.462638230647709"/>
          <s v="0.462638230647709-0.512638230647709"/>
          <s v="0.512638230647709-0.562638230647709"/>
          <s v="0.562638230647709-0.612638230647709"/>
          <s v="0.612638230647709-0.662638230647709"/>
          <s v="&gt;0.662638230647709"/>
        </groupItems>
      </fieldGroup>
    </cacheField>
    <cacheField name="Review" numFmtId="0">
      <sharedItems containsSemiMixedTypes="0" containsString="0" containsNumber="1" containsInteger="1" minValue="0" maxValue="69"/>
    </cacheField>
    <cacheField name="Rating" numFmtId="0">
      <sharedItems containsMixedTypes="1" containsNumber="1" minValue="2" maxValue="5" count="23">
        <n v="3"/>
        <n v="5"/>
        <s v="Not Provided"/>
        <n v="4.5999999999999996"/>
        <n v="4"/>
        <n v="3.8"/>
        <n v="2.5"/>
        <n v="2.1"/>
        <n v="4.3"/>
        <n v="4.5"/>
        <n v="4.7"/>
        <n v="4.0999999999999996"/>
        <n v="4.8"/>
        <n v="4.2"/>
        <n v="4.4000000000000004"/>
        <n v="2.9"/>
        <n v="2.2999999999999998"/>
        <n v="2.2000000000000002"/>
        <n v="2"/>
        <n v="2.8"/>
        <n v="2.6"/>
        <n v="2.7"/>
        <n v="3.3"/>
      </sharedItems>
    </cacheField>
    <cacheField name="Discount Amount (KSh)" numFmtId="164">
      <sharedItems containsSemiMixedTypes="0" containsString="0" containsNumber="1" containsInteger="1" minValue="24" maxValue="2585"/>
    </cacheField>
    <cacheField name="Rating Category" numFmtId="0">
      <sharedItems count="4">
        <s v="Average Rating"/>
        <s v="Excellent Rating"/>
        <s v="N/A"/>
        <s v="Poor Rating"/>
      </sharedItems>
    </cacheField>
    <cacheField name="Discount Category" numFmtId="0">
      <sharedItems count="3">
        <s v="Medium Discount"/>
        <s v="Low Discount"/>
        <s v="High Discount"/>
      </sharedItems>
    </cacheField>
  </cacheFields>
  <extLst>
    <ext xmlns:x14="http://schemas.microsoft.com/office/spreadsheetml/2009/9/main" uri="{725AE2AE-9491-48be-B2B4-4EB974FC3084}">
      <x14:pivotCacheDefinition pivotCacheId="3157460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71886400463" createdVersion="6" refreshedVersion="6" minRefreshableVersion="3" recordCount="109" xr:uid="{00000000-000A-0000-FFFF-FFFF7C000000}">
  <cacheSource type="worksheet">
    <worksheetSource ref="A1:J110" sheet="Excel_jumia"/>
  </cacheSource>
  <cacheFields count="10">
    <cacheField name="Product" numFmtId="0">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10">
      <sharedItems containsSemiMixedTypes="0" containsString="0" containsNumber="1" minValue="1.2638230647709321E-2" maxValue="0.64014466546112114"/>
    </cacheField>
    <cacheField name="Review" numFmtId="0">
      <sharedItems containsSemiMixedTypes="0" containsString="0" containsNumber="1" containsInteger="1" minValue="0" maxValue="69"/>
    </cacheField>
    <cacheField name="Rating" numFmtId="0">
      <sharedItems containsMixedTypes="1" containsNumber="1" minValue="2" maxValue="5"/>
    </cacheField>
    <cacheField name="Discount Amount (KSh)" numFmtId="164">
      <sharedItems containsSemiMixedTypes="0" containsString="0" containsNumber="1" containsInteger="1" minValue="24" maxValue="2585"/>
    </cacheField>
    <cacheField name="Rating Category" numFmtId="0">
      <sharedItems/>
    </cacheField>
    <cacheField name="Discount Category" numFmtId="0">
      <sharedItems/>
    </cacheField>
    <cacheField name="Current price range" numFmtId="0">
      <sharedItems count="3">
        <s v="High Value Product"/>
        <s v="Medium Priced Product"/>
        <s v="Low Priced Product"/>
      </sharedItems>
    </cacheField>
  </cacheFields>
  <extLst>
    <ext xmlns:x14="http://schemas.microsoft.com/office/spreadsheetml/2009/9/main" uri="{725AE2AE-9491-48be-B2B4-4EB974FC3084}">
      <x14:pivotCacheDefinition pivotCacheId="190176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6143"/>
    <x v="0"/>
    <n v="5"/>
    <x v="0"/>
    <n v="2393"/>
    <x v="0"/>
    <x v="0"/>
  </r>
  <r>
    <x v="1"/>
    <x v="1"/>
    <n v="4588"/>
    <x v="1"/>
    <n v="1"/>
    <x v="1"/>
    <n v="948"/>
    <x v="1"/>
    <x v="0"/>
  </r>
  <r>
    <x v="2"/>
    <x v="2"/>
    <n v="3699"/>
    <x v="2"/>
    <n v="0"/>
    <x v="2"/>
    <n v="153"/>
    <x v="2"/>
    <x v="1"/>
  </r>
  <r>
    <x v="3"/>
    <x v="3"/>
    <n v="3699"/>
    <x v="3"/>
    <n v="5"/>
    <x v="3"/>
    <n v="700"/>
    <x v="1"/>
    <x v="1"/>
  </r>
  <r>
    <x v="4"/>
    <x v="3"/>
    <n v="3290"/>
    <x v="4"/>
    <n v="15"/>
    <x v="4"/>
    <n v="291"/>
    <x v="0"/>
    <x v="1"/>
  </r>
  <r>
    <x v="5"/>
    <x v="4"/>
    <n v="3520"/>
    <x v="5"/>
    <n v="12"/>
    <x v="5"/>
    <n v="640"/>
    <x v="0"/>
    <x v="1"/>
  </r>
  <r>
    <x v="6"/>
    <x v="5"/>
    <n v="3810"/>
    <x v="6"/>
    <n v="0"/>
    <x v="2"/>
    <n v="1011"/>
    <x v="2"/>
    <x v="0"/>
  </r>
  <r>
    <x v="7"/>
    <x v="6"/>
    <n v="4471"/>
    <x v="7"/>
    <n v="0"/>
    <x v="2"/>
    <n v="1721"/>
    <x v="2"/>
    <x v="0"/>
  </r>
  <r>
    <x v="8"/>
    <x v="7"/>
    <n v="3032"/>
    <x v="8"/>
    <n v="55"/>
    <x v="3"/>
    <n v="713"/>
    <x v="1"/>
    <x v="0"/>
  </r>
  <r>
    <x v="9"/>
    <x v="8"/>
    <n v="3240"/>
    <x v="9"/>
    <n v="5"/>
    <x v="0"/>
    <n v="940"/>
    <x v="0"/>
    <x v="0"/>
  </r>
  <r>
    <x v="10"/>
    <x v="9"/>
    <n v="4080"/>
    <x v="10"/>
    <n v="0"/>
    <x v="2"/>
    <n v="1880"/>
    <x v="2"/>
    <x v="2"/>
  </r>
  <r>
    <x v="11"/>
    <x v="10"/>
    <n v="2923"/>
    <x v="11"/>
    <n v="24"/>
    <x v="3"/>
    <n v="724"/>
    <x v="1"/>
    <x v="0"/>
  </r>
  <r>
    <x v="12"/>
    <x v="11"/>
    <n v="2500"/>
    <x v="12"/>
    <n v="6"/>
    <x v="6"/>
    <n v="330"/>
    <x v="3"/>
    <x v="1"/>
  </r>
  <r>
    <x v="13"/>
    <x v="12"/>
    <n v="2169"/>
    <x v="13"/>
    <n v="0"/>
    <x v="2"/>
    <n v="37"/>
    <x v="2"/>
    <x v="1"/>
  </r>
  <r>
    <x v="14"/>
    <x v="13"/>
    <n v="4700"/>
    <x v="14"/>
    <n v="13"/>
    <x v="7"/>
    <n v="2585"/>
    <x v="3"/>
    <x v="2"/>
  </r>
  <r>
    <x v="15"/>
    <x v="14"/>
    <n v="4500"/>
    <x v="15"/>
    <n v="7"/>
    <x v="8"/>
    <n v="2452"/>
    <x v="0"/>
    <x v="2"/>
  </r>
  <r>
    <x v="16"/>
    <x v="15"/>
    <n v="3971"/>
    <x v="16"/>
    <n v="3"/>
    <x v="1"/>
    <n v="1946"/>
    <x v="1"/>
    <x v="2"/>
  </r>
  <r>
    <x v="17"/>
    <x v="16"/>
    <n v="2699"/>
    <x v="17"/>
    <n v="32"/>
    <x v="9"/>
    <n v="719"/>
    <x v="1"/>
    <x v="0"/>
  </r>
  <r>
    <x v="18"/>
    <x v="17"/>
    <n v="2650"/>
    <x v="18"/>
    <n v="20"/>
    <x v="10"/>
    <n v="710"/>
    <x v="1"/>
    <x v="0"/>
  </r>
  <r>
    <x v="19"/>
    <x v="18"/>
    <n v="1899"/>
    <x v="19"/>
    <n v="0"/>
    <x v="2"/>
    <n v="24"/>
    <x v="2"/>
    <x v="1"/>
  </r>
  <r>
    <x v="20"/>
    <x v="19"/>
    <n v="3220"/>
    <x v="20"/>
    <n v="0"/>
    <x v="2"/>
    <n v="1360"/>
    <x v="2"/>
    <x v="2"/>
  </r>
  <r>
    <x v="21"/>
    <x v="20"/>
    <n v="3490"/>
    <x v="21"/>
    <n v="9"/>
    <x v="8"/>
    <n v="1670"/>
    <x v="0"/>
    <x v="2"/>
  </r>
  <r>
    <x v="22"/>
    <x v="21"/>
    <n v="2700"/>
    <x v="22"/>
    <n v="2"/>
    <x v="9"/>
    <n v="900"/>
    <x v="1"/>
    <x v="0"/>
  </r>
  <r>
    <x v="23"/>
    <x v="22"/>
    <n v="1799"/>
    <x v="23"/>
    <n v="0"/>
    <x v="2"/>
    <n v="31"/>
    <x v="2"/>
    <x v="1"/>
  </r>
  <r>
    <x v="24"/>
    <x v="23"/>
    <n v="2499"/>
    <x v="24"/>
    <n v="20"/>
    <x v="11"/>
    <n v="741"/>
    <x v="0"/>
    <x v="0"/>
  </r>
  <r>
    <x v="25"/>
    <x v="24"/>
    <n v="2356"/>
    <x v="25"/>
    <n v="5"/>
    <x v="12"/>
    <n v="616"/>
    <x v="1"/>
    <x v="0"/>
  </r>
  <r>
    <x v="26"/>
    <x v="25"/>
    <n v="1799"/>
    <x v="26"/>
    <n v="0"/>
    <x v="2"/>
    <n v="67"/>
    <x v="2"/>
    <x v="1"/>
  </r>
  <r>
    <x v="27"/>
    <x v="26"/>
    <n v="2499"/>
    <x v="27"/>
    <n v="9"/>
    <x v="13"/>
    <n v="819"/>
    <x v="0"/>
    <x v="0"/>
  </r>
  <r>
    <x v="28"/>
    <x v="27"/>
    <n v="1699"/>
    <x v="28"/>
    <n v="0"/>
    <x v="2"/>
    <n v="33"/>
    <x v="2"/>
    <x v="1"/>
  </r>
  <r>
    <x v="29"/>
    <x v="28"/>
    <n v="1699"/>
    <x v="29"/>
    <n v="0"/>
    <x v="2"/>
    <n v="39"/>
    <x v="2"/>
    <x v="1"/>
  </r>
  <r>
    <x v="30"/>
    <x v="29"/>
    <n v="1699"/>
    <x v="30"/>
    <n v="0"/>
    <x v="2"/>
    <n v="41"/>
    <x v="2"/>
    <x v="1"/>
  </r>
  <r>
    <x v="31"/>
    <x v="30"/>
    <n v="2150"/>
    <x v="31"/>
    <n v="14"/>
    <x v="14"/>
    <n v="500"/>
    <x v="0"/>
    <x v="0"/>
  </r>
  <r>
    <x v="32"/>
    <x v="31"/>
    <n v="2690"/>
    <x v="32"/>
    <n v="1"/>
    <x v="1"/>
    <n v="1070"/>
    <x v="1"/>
    <x v="0"/>
  </r>
  <r>
    <x v="33"/>
    <x v="32"/>
    <n v="2929"/>
    <x v="33"/>
    <n v="5"/>
    <x v="5"/>
    <n v="1329"/>
    <x v="0"/>
    <x v="2"/>
  </r>
  <r>
    <x v="34"/>
    <x v="33"/>
    <n v="2499"/>
    <x v="34"/>
    <n v="7"/>
    <x v="10"/>
    <n v="919"/>
    <x v="1"/>
    <x v="0"/>
  </r>
  <r>
    <x v="35"/>
    <x v="34"/>
    <n v="2988"/>
    <x v="35"/>
    <n v="7"/>
    <x v="7"/>
    <n v="1418"/>
    <x v="3"/>
    <x v="2"/>
  </r>
  <r>
    <x v="36"/>
    <x v="35"/>
    <n v="1660"/>
    <x v="36"/>
    <n v="0"/>
    <x v="2"/>
    <n v="134"/>
    <x v="2"/>
    <x v="1"/>
  </r>
  <r>
    <x v="37"/>
    <x v="36"/>
    <n v="1699"/>
    <x v="37"/>
    <n v="0"/>
    <x v="2"/>
    <n v="231"/>
    <x v="2"/>
    <x v="1"/>
  </r>
  <r>
    <x v="38"/>
    <x v="37"/>
    <n v="1699"/>
    <x v="38"/>
    <n v="0"/>
    <x v="2"/>
    <n v="233"/>
    <x v="2"/>
    <x v="1"/>
  </r>
  <r>
    <x v="39"/>
    <x v="38"/>
    <n v="1499"/>
    <x v="39"/>
    <n v="0"/>
    <x v="2"/>
    <n v="37"/>
    <x v="2"/>
    <x v="1"/>
  </r>
  <r>
    <x v="40"/>
    <x v="39"/>
    <n v="2290"/>
    <x v="40"/>
    <n v="0"/>
    <x v="2"/>
    <n v="830"/>
    <x v="2"/>
    <x v="0"/>
  </r>
  <r>
    <x v="41"/>
    <x v="40"/>
    <n v="1499"/>
    <x v="41"/>
    <n v="0"/>
    <x v="2"/>
    <n v="40"/>
    <x v="2"/>
    <x v="1"/>
  </r>
  <r>
    <x v="42"/>
    <x v="41"/>
    <n v="2420"/>
    <x v="42"/>
    <n v="0"/>
    <x v="2"/>
    <n v="1000"/>
    <x v="2"/>
    <x v="2"/>
  </r>
  <r>
    <x v="43"/>
    <x v="42"/>
    <n v="1990"/>
    <x v="43"/>
    <n v="13"/>
    <x v="5"/>
    <n v="640"/>
    <x v="0"/>
    <x v="0"/>
  </r>
  <r>
    <x v="44"/>
    <x v="43"/>
    <n v="2500"/>
    <x v="44"/>
    <n v="0"/>
    <x v="2"/>
    <n v="1200"/>
    <x v="2"/>
    <x v="2"/>
  </r>
  <r>
    <x v="45"/>
    <x v="44"/>
    <n v="2800"/>
    <x v="45"/>
    <n v="5"/>
    <x v="12"/>
    <n v="1526"/>
    <x v="1"/>
    <x v="2"/>
  </r>
  <r>
    <x v="46"/>
    <x v="45"/>
    <n v="1555"/>
    <x v="46"/>
    <n v="16"/>
    <x v="15"/>
    <n v="335"/>
    <x v="3"/>
    <x v="0"/>
  </r>
  <r>
    <x v="47"/>
    <x v="46"/>
    <n v="2400"/>
    <x v="47"/>
    <n v="0"/>
    <x v="2"/>
    <n v="1200"/>
    <x v="2"/>
    <x v="2"/>
  </r>
  <r>
    <x v="48"/>
    <x v="46"/>
    <n v="1950"/>
    <x v="48"/>
    <n v="0"/>
    <x v="2"/>
    <n v="750"/>
    <x v="2"/>
    <x v="0"/>
  </r>
  <r>
    <x v="49"/>
    <x v="47"/>
    <n v="1810"/>
    <x v="49"/>
    <n v="0"/>
    <x v="2"/>
    <n v="620"/>
    <x v="2"/>
    <x v="0"/>
  </r>
  <r>
    <x v="50"/>
    <x v="47"/>
    <n v="1785"/>
    <x v="22"/>
    <n v="0"/>
    <x v="2"/>
    <n v="595"/>
    <x v="2"/>
    <x v="0"/>
  </r>
  <r>
    <x v="51"/>
    <x v="48"/>
    <n v="2199"/>
    <x v="50"/>
    <n v="1"/>
    <x v="0"/>
    <n v="1010"/>
    <x v="0"/>
    <x v="2"/>
  </r>
  <r>
    <x v="52"/>
    <x v="49"/>
    <n v="1737"/>
    <x v="51"/>
    <n v="0"/>
    <x v="2"/>
    <n v="587"/>
    <x v="2"/>
    <x v="0"/>
  </r>
  <r>
    <x v="53"/>
    <x v="50"/>
    <n v="1874"/>
    <x v="52"/>
    <n v="0"/>
    <x v="2"/>
    <n v="794"/>
    <x v="2"/>
    <x v="2"/>
  </r>
  <r>
    <x v="54"/>
    <x v="51"/>
    <n v="2000"/>
    <x v="47"/>
    <n v="7"/>
    <x v="16"/>
    <n v="1000"/>
    <x v="3"/>
    <x v="2"/>
  </r>
  <r>
    <x v="55"/>
    <x v="52"/>
    <n v="2000"/>
    <x v="53"/>
    <n v="0"/>
    <x v="2"/>
    <n v="1001"/>
    <x v="2"/>
    <x v="2"/>
  </r>
  <r>
    <x v="56"/>
    <x v="53"/>
    <n v="1966"/>
    <x v="54"/>
    <n v="44"/>
    <x v="3"/>
    <n v="968"/>
    <x v="1"/>
    <x v="2"/>
  </r>
  <r>
    <x v="57"/>
    <x v="54"/>
    <n v="1814"/>
    <x v="55"/>
    <n v="6"/>
    <x v="17"/>
    <n v="824"/>
    <x v="3"/>
    <x v="2"/>
  </r>
  <r>
    <x v="58"/>
    <x v="54"/>
    <n v="1500"/>
    <x v="56"/>
    <n v="39"/>
    <x v="10"/>
    <n v="510"/>
    <x v="1"/>
    <x v="0"/>
  </r>
  <r>
    <x v="59"/>
    <x v="55"/>
    <n v="1580"/>
    <x v="57"/>
    <n v="2"/>
    <x v="4"/>
    <n v="592"/>
    <x v="0"/>
    <x v="0"/>
  </r>
  <r>
    <x v="60"/>
    <x v="56"/>
    <n v="1490"/>
    <x v="58"/>
    <n v="12"/>
    <x v="10"/>
    <n v="510"/>
    <x v="1"/>
    <x v="0"/>
  </r>
  <r>
    <x v="61"/>
    <x v="57"/>
    <n v="1920"/>
    <x v="59"/>
    <n v="1"/>
    <x v="1"/>
    <n v="941"/>
    <x v="1"/>
    <x v="2"/>
  </r>
  <r>
    <x v="62"/>
    <x v="58"/>
    <n v="1814"/>
    <x v="60"/>
    <n v="6"/>
    <x v="17"/>
    <n v="846"/>
    <x v="3"/>
    <x v="2"/>
  </r>
  <r>
    <x v="63"/>
    <x v="59"/>
    <n v="1525"/>
    <x v="61"/>
    <n v="2"/>
    <x v="9"/>
    <n v="575"/>
    <x v="1"/>
    <x v="0"/>
  </r>
  <r>
    <x v="64"/>
    <x v="60"/>
    <n v="1699"/>
    <x v="62"/>
    <n v="0"/>
    <x v="2"/>
    <n v="800"/>
    <x v="2"/>
    <x v="2"/>
  </r>
  <r>
    <x v="65"/>
    <x v="61"/>
    <n v="1350"/>
    <x v="63"/>
    <n v="6"/>
    <x v="4"/>
    <n v="470"/>
    <x v="0"/>
    <x v="0"/>
  </r>
  <r>
    <x v="66"/>
    <x v="62"/>
    <n v="1700"/>
    <x v="47"/>
    <n v="0"/>
    <x v="2"/>
    <n v="850"/>
    <x v="2"/>
    <x v="2"/>
  </r>
  <r>
    <x v="67"/>
    <x v="63"/>
    <n v="1567"/>
    <x v="64"/>
    <n v="0"/>
    <x v="2"/>
    <n v="768"/>
    <x v="2"/>
    <x v="2"/>
  </r>
  <r>
    <x v="68"/>
    <x v="63"/>
    <n v="1343"/>
    <x v="65"/>
    <n v="0"/>
    <x v="2"/>
    <n v="544"/>
    <x v="2"/>
    <x v="2"/>
  </r>
  <r>
    <x v="69"/>
    <x v="63"/>
    <n v="999"/>
    <x v="66"/>
    <n v="12"/>
    <x v="11"/>
    <n v="200"/>
    <x v="0"/>
    <x v="0"/>
  </r>
  <r>
    <x v="70"/>
    <x v="63"/>
    <n v="900"/>
    <x v="67"/>
    <n v="0"/>
    <x v="2"/>
    <n v="101"/>
    <x v="2"/>
    <x v="1"/>
  </r>
  <r>
    <x v="71"/>
    <x v="64"/>
    <n v="1485"/>
    <x v="68"/>
    <n v="0"/>
    <x v="2"/>
    <n v="695"/>
    <x v="2"/>
    <x v="2"/>
  </r>
  <r>
    <x v="72"/>
    <x v="65"/>
    <n v="1343"/>
    <x v="69"/>
    <n v="0"/>
    <x v="2"/>
    <n v="644"/>
    <x v="2"/>
    <x v="2"/>
  </r>
  <r>
    <x v="73"/>
    <x v="66"/>
    <n v="1200"/>
    <x v="70"/>
    <n v="0"/>
    <x v="2"/>
    <n v="510"/>
    <x v="2"/>
    <x v="2"/>
  </r>
  <r>
    <x v="74"/>
    <x v="67"/>
    <n v="1316"/>
    <x v="71"/>
    <n v="0"/>
    <x v="2"/>
    <n v="645"/>
    <x v="2"/>
    <x v="2"/>
  </r>
  <r>
    <x v="75"/>
    <x v="68"/>
    <n v="1100"/>
    <x v="72"/>
    <n v="0"/>
    <x v="2"/>
    <n v="470"/>
    <x v="2"/>
    <x v="2"/>
  </r>
  <r>
    <x v="76"/>
    <x v="69"/>
    <n v="1060"/>
    <x v="73"/>
    <n v="0"/>
    <x v="2"/>
    <n v="450"/>
    <x v="2"/>
    <x v="2"/>
  </r>
  <r>
    <x v="77"/>
    <x v="70"/>
    <n v="1035"/>
    <x v="74"/>
    <n v="12"/>
    <x v="12"/>
    <n v="483"/>
    <x v="1"/>
    <x v="2"/>
  </r>
  <r>
    <x v="78"/>
    <x v="71"/>
    <n v="999"/>
    <x v="75"/>
    <n v="14"/>
    <x v="11"/>
    <n v="472"/>
    <x v="0"/>
    <x v="2"/>
  </r>
  <r>
    <x v="79"/>
    <x v="72"/>
    <n v="1029"/>
    <x v="76"/>
    <n v="0"/>
    <x v="2"/>
    <n v="504"/>
    <x v="2"/>
    <x v="2"/>
  </r>
  <r>
    <x v="80"/>
    <x v="73"/>
    <n v="899"/>
    <x v="77"/>
    <n v="5"/>
    <x v="0"/>
    <n v="390"/>
    <x v="0"/>
    <x v="2"/>
  </r>
  <r>
    <x v="81"/>
    <x v="74"/>
    <n v="860"/>
    <x v="78"/>
    <n v="6"/>
    <x v="9"/>
    <n v="359"/>
    <x v="1"/>
    <x v="2"/>
  </r>
  <r>
    <x v="82"/>
    <x v="75"/>
    <n v="900"/>
    <x v="79"/>
    <n v="0"/>
    <x v="2"/>
    <n v="401"/>
    <x v="2"/>
    <x v="2"/>
  </r>
  <r>
    <x v="83"/>
    <x v="76"/>
    <n v="931"/>
    <x v="76"/>
    <n v="0"/>
    <x v="2"/>
    <n v="456"/>
    <x v="2"/>
    <x v="2"/>
  </r>
  <r>
    <x v="84"/>
    <x v="77"/>
    <n v="986"/>
    <x v="80"/>
    <n v="10"/>
    <x v="0"/>
    <n v="528"/>
    <x v="0"/>
    <x v="2"/>
  </r>
  <r>
    <x v="85"/>
    <x v="78"/>
    <n v="900"/>
    <x v="47"/>
    <n v="1"/>
    <x v="18"/>
    <n v="450"/>
    <x v="3"/>
    <x v="2"/>
  </r>
  <r>
    <x v="86"/>
    <x v="79"/>
    <n v="873"/>
    <x v="81"/>
    <n v="69"/>
    <x v="19"/>
    <n v="428"/>
    <x v="3"/>
    <x v="2"/>
  </r>
  <r>
    <x v="87"/>
    <x v="80"/>
    <n v="647"/>
    <x v="82"/>
    <n v="49"/>
    <x v="3"/>
    <n v="227"/>
    <x v="1"/>
    <x v="0"/>
  </r>
  <r>
    <x v="88"/>
    <x v="81"/>
    <n v="656"/>
    <x v="83"/>
    <n v="36"/>
    <x v="8"/>
    <n v="267"/>
    <x v="0"/>
    <x v="2"/>
  </r>
  <r>
    <x v="89"/>
    <x v="82"/>
    <n v="700"/>
    <x v="84"/>
    <n v="17"/>
    <x v="20"/>
    <n v="318"/>
    <x v="3"/>
    <x v="2"/>
  </r>
  <r>
    <x v="90"/>
    <x v="83"/>
    <n v="602"/>
    <x v="85"/>
    <n v="6"/>
    <x v="16"/>
    <n v="257"/>
    <x v="3"/>
    <x v="2"/>
  </r>
  <r>
    <x v="91"/>
    <x v="84"/>
    <n v="684"/>
    <x v="86"/>
    <n v="2"/>
    <x v="1"/>
    <n v="352"/>
    <x v="1"/>
    <x v="2"/>
  </r>
  <r>
    <x v="92"/>
    <x v="85"/>
    <n v="647"/>
    <x v="87"/>
    <n v="1"/>
    <x v="4"/>
    <n v="317"/>
    <x v="0"/>
    <x v="2"/>
  </r>
  <r>
    <x v="93"/>
    <x v="86"/>
    <n v="680"/>
    <x v="88"/>
    <n v="15"/>
    <x v="21"/>
    <n v="355"/>
    <x v="3"/>
    <x v="2"/>
  </r>
  <r>
    <x v="94"/>
    <x v="87"/>
    <n v="600"/>
    <x v="89"/>
    <n v="0"/>
    <x v="2"/>
    <n v="301"/>
    <x v="2"/>
    <x v="2"/>
  </r>
  <r>
    <x v="95"/>
    <x v="87"/>
    <n v="384"/>
    <x v="90"/>
    <n v="0"/>
    <x v="2"/>
    <n v="85"/>
    <x v="2"/>
    <x v="0"/>
  </r>
  <r>
    <x v="96"/>
    <x v="88"/>
    <n v="537"/>
    <x v="91"/>
    <n v="0"/>
    <x v="2"/>
    <n v="263"/>
    <x v="2"/>
    <x v="2"/>
  </r>
  <r>
    <x v="97"/>
    <x v="89"/>
    <n v="486"/>
    <x v="92"/>
    <n v="0"/>
    <x v="2"/>
    <n v="238"/>
    <x v="2"/>
    <x v="2"/>
  </r>
  <r>
    <x v="98"/>
    <x v="90"/>
    <n v="476"/>
    <x v="47"/>
    <n v="0"/>
    <x v="2"/>
    <n v="238"/>
    <x v="2"/>
    <x v="2"/>
  </r>
  <r>
    <x v="99"/>
    <x v="91"/>
    <n v="450"/>
    <x v="93"/>
    <n v="0"/>
    <x v="2"/>
    <n v="220"/>
    <x v="2"/>
    <x v="2"/>
  </r>
  <r>
    <x v="100"/>
    <x v="92"/>
    <n v="553"/>
    <x v="94"/>
    <n v="0"/>
    <x v="2"/>
    <n v="354"/>
    <x v="2"/>
    <x v="2"/>
  </r>
  <r>
    <x v="101"/>
    <x v="92"/>
    <n v="504"/>
    <x v="95"/>
    <n v="0"/>
    <x v="2"/>
    <n v="305"/>
    <x v="2"/>
    <x v="2"/>
  </r>
  <r>
    <x v="102"/>
    <x v="93"/>
    <n v="260"/>
    <x v="96"/>
    <n v="0"/>
    <x v="2"/>
    <n v="62"/>
    <x v="2"/>
    <x v="0"/>
  </r>
  <r>
    <x v="103"/>
    <x v="94"/>
    <n v="360"/>
    <x v="97"/>
    <n v="2"/>
    <x v="1"/>
    <n v="165"/>
    <x v="1"/>
    <x v="2"/>
  </r>
  <r>
    <x v="104"/>
    <x v="95"/>
    <n v="382"/>
    <x v="98"/>
    <n v="9"/>
    <x v="8"/>
    <n v="197"/>
    <x v="0"/>
    <x v="2"/>
  </r>
  <r>
    <x v="105"/>
    <x v="96"/>
    <n v="360"/>
    <x v="99"/>
    <n v="2"/>
    <x v="1"/>
    <n v="189"/>
    <x v="1"/>
    <x v="2"/>
  </r>
  <r>
    <x v="106"/>
    <x v="97"/>
    <n v="320"/>
    <x v="100"/>
    <n v="0"/>
    <x v="2"/>
    <n v="151"/>
    <x v="2"/>
    <x v="2"/>
  </r>
  <r>
    <x v="107"/>
    <x v="98"/>
    <n v="200"/>
    <x v="101"/>
    <n v="0"/>
    <x v="2"/>
    <n v="95"/>
    <x v="2"/>
    <x v="2"/>
  </r>
  <r>
    <x v="108"/>
    <x v="99"/>
    <n v="80"/>
    <x v="99"/>
    <n v="13"/>
    <x v="22"/>
    <n v="42"/>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32PCS Portable Cordless Drill Set With Cyclic Battery Drive -26 Variable Speed"/>
    <n v="3750"/>
    <n v="6143"/>
    <n v="0.38954908025394758"/>
    <n v="5"/>
    <n v="3"/>
    <n v="2393"/>
    <s v="Average Rating"/>
    <s v="Medium Discount"/>
    <x v="0"/>
  </r>
  <r>
    <s v="Konka Healty Electric Kettle, 24-hour Heat Preservation,1.5L,800W, White"/>
    <n v="3640"/>
    <n v="4588"/>
    <n v="0.20662598081952921"/>
    <n v="1"/>
    <n v="5"/>
    <n v="948"/>
    <s v="Excellent Rating"/>
    <s v="Medium Discount"/>
    <x v="0"/>
  </r>
  <r>
    <s v="Metal Wall Clock Silver Dial Crystal Jewelry Round Home Decoration Wall Clock"/>
    <n v="3546"/>
    <n v="3699"/>
    <n v="4.1362530413625302E-2"/>
    <n v="0"/>
    <s v="Not Provided"/>
    <n v="153"/>
    <s v="N/A"/>
    <s v="Low Discount"/>
    <x v="0"/>
  </r>
  <r>
    <s v="LED Wall Digital Alarm Clock Study Home 12 / 24H Clock Calendar"/>
    <n v="2999"/>
    <n v="3699"/>
    <n v="0.18924033522573669"/>
    <n v="5"/>
    <n v="4.5999999999999996"/>
    <n v="700"/>
    <s v="Excellent Rating"/>
    <s v="Low Discount"/>
    <x v="0"/>
  </r>
  <r>
    <s v="220V 60W Electric Soldering Iron Kits With Tools, Tips, And Multimeter"/>
    <n v="2999"/>
    <n v="3290"/>
    <n v="8.8449848024316116E-2"/>
    <n v="15"/>
    <n v="4"/>
    <n v="291"/>
    <s v="Average Rating"/>
    <s v="Low Discount"/>
    <x v="0"/>
  </r>
  <r>
    <s v="Portable Wardrobe Nonwoven With 3 Hanging Rods And 6 Storage Shelves"/>
    <n v="2880"/>
    <n v="3520"/>
    <n v="0.18181818181818182"/>
    <n v="12"/>
    <n v="3.8"/>
    <n v="640"/>
    <s v="Average Rating"/>
    <s v="Low Discount"/>
    <x v="0"/>
  </r>
  <r>
    <s v="12V 19500rpm Handheld Electric Angle Grinder Tool - UK - Yellow/Black"/>
    <n v="2799"/>
    <n v="3810"/>
    <n v="0.26535433070866143"/>
    <n v="0"/>
    <s v="Not Provided"/>
    <n v="1011"/>
    <s v="N/A"/>
    <s v="Medium Discount"/>
    <x v="0"/>
  </r>
  <r>
    <s v="LASA Stainless Steel Double Wall Mount Soap Dispenser - 500ml"/>
    <n v="2750"/>
    <n v="4471"/>
    <n v="0.38492507269067322"/>
    <n v="0"/>
    <s v="Not Provided"/>
    <n v="1721"/>
    <s v="N/A"/>
    <s v="Medium Discount"/>
    <x v="0"/>
  </r>
  <r>
    <s v="137 Pieces Cake Decorating Tool Set Baking Supplies"/>
    <n v="2319"/>
    <n v="3032"/>
    <n v="0.23515831134564644"/>
    <n v="55"/>
    <n v="4.5999999999999996"/>
    <n v="713"/>
    <s v="Excellent Rating"/>
    <s v="Medium Discount"/>
    <x v="1"/>
  </r>
  <r>
    <s v="Large Lazy Inflatable Sofa Chairs PVC Lounger Seat Bag"/>
    <n v="2300"/>
    <n v="3240"/>
    <n v="0.29012345679012347"/>
    <n v="5"/>
    <n v="3"/>
    <n v="940"/>
    <s v="Average Rating"/>
    <s v="Medium Discount"/>
    <x v="1"/>
  </r>
  <r>
    <s v="MultiFunctional Storage Rack Multi-layer Bookshelf"/>
    <n v="2200"/>
    <n v="4080"/>
    <n v="0.46078431372549017"/>
    <n v="0"/>
    <s v="Not Provided"/>
    <n v="1880"/>
    <s v="N/A"/>
    <s v="High Discount"/>
    <x v="1"/>
  </r>
  <r>
    <s v="Portable Mini Cordless Car Vacuum Cleaner - Blue"/>
    <n v="2199"/>
    <n v="2923"/>
    <n v="0.24769072870338693"/>
    <n v="24"/>
    <n v="4.5999999999999996"/>
    <n v="724"/>
    <s v="Excellent Rating"/>
    <s v="Medium Discount"/>
    <x v="1"/>
  </r>
  <r>
    <s v="5 Pieces/set Of Stainless Steel Induction Cooker Pots"/>
    <n v="2170"/>
    <n v="2500"/>
    <n v="0.13200000000000001"/>
    <n v="6"/>
    <n v="2.5"/>
    <n v="330"/>
    <s v="Poor Rating"/>
    <s v="Low Discount"/>
    <x v="1"/>
  </r>
  <r>
    <s v="Shower Cap Wide Elastic Band Cover Reusable Bashroom Cap"/>
    <n v="2132"/>
    <n v="2169"/>
    <n v="1.705855232826187E-2"/>
    <n v="0"/>
    <s v="Not Provided"/>
    <n v="37"/>
    <s v="N/A"/>
    <s v="Low Discount"/>
    <x v="1"/>
  </r>
  <r>
    <s v="5-PCS Stainless Steel Cooking Pot Set With Steamed Slices"/>
    <n v="2115"/>
    <n v="4700"/>
    <n v="0.55000000000000004"/>
    <n v="13"/>
    <n v="2.1"/>
    <n v="2585"/>
    <s v="Poor Rating"/>
    <s v="High Discount"/>
    <x v="1"/>
  </r>
  <r>
    <s v="LASA 3 Tier Bamboo Shoe Bench Storage Shelf"/>
    <n v="2048"/>
    <n v="4500"/>
    <n v="0.54488888888888887"/>
    <n v="7"/>
    <n v="4.3"/>
    <n v="2452"/>
    <s v="Average Rating"/>
    <s v="High Discount"/>
    <x v="1"/>
  </r>
  <r>
    <s v="LASA Aluminum Folding Truck Hand Cart - 68kg Max"/>
    <n v="2025"/>
    <n v="3971"/>
    <n v="0.49005288340468395"/>
    <n v="3"/>
    <n v="5"/>
    <n v="1946"/>
    <s v="Excellent Rating"/>
    <s v="High Discount"/>
    <x v="1"/>
  </r>
  <r>
    <s v="53 Pieces/Set Yarn Knitting Crochet Hooks With Bag - Pansies"/>
    <n v="1980"/>
    <n v="2699"/>
    <n v="0.26639496109670247"/>
    <n v="32"/>
    <n v="4.5"/>
    <n v="719"/>
    <s v="Excellent Rating"/>
    <s v="Medium Discount"/>
    <x v="1"/>
  </r>
  <r>
    <s v="53Pcs/Set Yarn Knitting Crochet Hooks With Bag - Fortune Cat"/>
    <n v="1940"/>
    <n v="2650"/>
    <n v="0.26792452830188679"/>
    <n v="20"/>
    <n v="4.7"/>
    <n v="710"/>
    <s v="Excellent Rating"/>
    <s v="Medium Discount"/>
    <x v="1"/>
  </r>
  <r>
    <s v="24 Grid Wall-mounted Sundries Organiser Fabric Closet Bag Storage Rack"/>
    <n v="1875"/>
    <n v="1899"/>
    <n v="1.2638230647709321E-2"/>
    <n v="0"/>
    <s v="Not Provided"/>
    <n v="24"/>
    <s v="N/A"/>
    <s v="Low Discount"/>
    <x v="1"/>
  </r>
  <r>
    <s v="4pcs Bathroom/Kitchen Towel Rack,Roll Paper Holder,Towel Bars,Hook"/>
    <n v="1860"/>
    <n v="3220"/>
    <n v="0.42236024844720499"/>
    <n v="0"/>
    <s v="Not Provided"/>
    <n v="1360"/>
    <s v="N/A"/>
    <s v="High Discount"/>
    <x v="1"/>
  </r>
  <r>
    <s v="LED Eye Protection  Desk Lamp , Study, Reading, USB Fan - Double Pen Holder"/>
    <n v="1820"/>
    <n v="3490"/>
    <n v="0.47851002865329512"/>
    <n v="9"/>
    <n v="4.3"/>
    <n v="1670"/>
    <s v="Average Rating"/>
    <s v="High Discount"/>
    <x v="1"/>
  </r>
  <r>
    <s v="1/2/3 Seater Elastic Sofa Cover,Living Room/Home Decor Chair Cover-Grey"/>
    <n v="1800"/>
    <n v="2700"/>
    <n v="0.33333333333333331"/>
    <n v="2"/>
    <n v="4.5"/>
    <n v="900"/>
    <s v="Excellent Rating"/>
    <s v="Medium Discount"/>
    <x v="1"/>
  </r>
  <r>
    <s v="Thickening Multipurpose Non Stick Easy To Clean Heat Resistant Spoon Pad"/>
    <n v="1768"/>
    <n v="1799"/>
    <n v="1.7231795441912175E-2"/>
    <n v="0"/>
    <s v="Not Provided"/>
    <n v="31"/>
    <s v="N/A"/>
    <s v="Low Discount"/>
    <x v="1"/>
  </r>
  <r>
    <s v="52 Pieces Cake Decorating Tool Set Gift Kit Baking Supplies"/>
    <n v="1758"/>
    <n v="2499"/>
    <n v="0.2965186074429772"/>
    <n v="20"/>
    <n v="4.0999999999999996"/>
    <n v="741"/>
    <s v="Average Rating"/>
    <s v="Medium Discount"/>
    <x v="1"/>
  </r>
  <r>
    <s v="Portable Home Small Air Humidifier 3-Speed Fan - Green"/>
    <n v="1740"/>
    <n v="2356"/>
    <n v="0.26146010186757218"/>
    <n v="5"/>
    <n v="4.8"/>
    <n v="616"/>
    <s v="Excellent Rating"/>
    <s v="Medium Discount"/>
    <x v="1"/>
  </r>
  <r>
    <s v="Cushion Silicone Butt Cushion Summer Ice Cushion Honeycomb Gel Cushion"/>
    <n v="1732"/>
    <n v="1799"/>
    <n v="3.7242912729294052E-2"/>
    <n v="0"/>
    <s v="Not Provided"/>
    <n v="67"/>
    <s v="N/A"/>
    <s v="Low Discount"/>
    <x v="1"/>
  </r>
  <r>
    <s v="Multifunction Laser Level With Adjustment Tripod"/>
    <n v="1680"/>
    <n v="2499"/>
    <n v="0.32773109243697479"/>
    <n v="9"/>
    <n v="4.2"/>
    <n v="819"/>
    <s v="Average Rating"/>
    <s v="Medium Discount"/>
    <x v="1"/>
  </r>
  <r>
    <s v="2 Pairs Cowhide Split Leather Work Gloves.32â„‰ Or Above Welding Gloves"/>
    <n v="1666"/>
    <n v="1699"/>
    <n v="1.9423190111830489E-2"/>
    <n v="0"/>
    <s v="Not Provided"/>
    <n v="33"/>
    <s v="N/A"/>
    <s v="Low Discount"/>
    <x v="1"/>
  </r>
  <r>
    <s v="Pen Grips For Kids Pen Grip Posture Correction Tool For Kids"/>
    <n v="1660"/>
    <n v="1699"/>
    <n v="2.2954679223072396E-2"/>
    <n v="0"/>
    <s v="Not Provided"/>
    <n v="39"/>
    <s v="N/A"/>
    <s v="Low Discount"/>
    <x v="1"/>
  </r>
  <r>
    <s v="Shower Nozzle Cleaning Unclogging Needle Mini Crevice Small Hole Cleaning Brush"/>
    <n v="1658"/>
    <n v="1699"/>
    <n v="2.4131842260153032E-2"/>
    <n v="0"/>
    <s v="Not Provided"/>
    <n v="41"/>
    <s v="N/A"/>
    <s v="Low Discount"/>
    <x v="1"/>
  </r>
  <r>
    <s v="Foldable Overbed Table/Desk"/>
    <n v="1650"/>
    <n v="2150"/>
    <n v="0.23255813953488372"/>
    <n v="14"/>
    <n v="4.4000000000000004"/>
    <n v="500"/>
    <s v="Average Rating"/>
    <s v="Medium Discount"/>
    <x v="1"/>
  </r>
  <r>
    <s v="DIY File Folder, Office Drawer File Holder, Pen Holder, Desktop Storage Rack"/>
    <n v="1620"/>
    <n v="2690"/>
    <n v="0.39776951672862454"/>
    <n v="1"/>
    <n v="5"/>
    <n v="1070"/>
    <s v="Excellent Rating"/>
    <s v="Medium Discount"/>
    <x v="1"/>
  </r>
  <r>
    <s v="13 In 1 Home Repair Tools Box Kit Set"/>
    <n v="1600"/>
    <n v="2929"/>
    <n v="0.45373847729600547"/>
    <n v="5"/>
    <n v="3.8"/>
    <n v="1329"/>
    <s v="Average Rating"/>
    <s v="High Discount"/>
    <x v="1"/>
  </r>
  <r>
    <s v="Weighing Scale Digital Bathroom Body Fat Scale USB-Black"/>
    <n v="1580"/>
    <n v="2499"/>
    <n v="0.36774709883953582"/>
    <n v="7"/>
    <n v="4.7"/>
    <n v="919"/>
    <s v="Excellent Rating"/>
    <s v="Medium Discount"/>
    <x v="1"/>
  </r>
  <r>
    <s v="Electric LED UV Mosquito Killer Lamp, Outdoor/Indoor Fly Killer Trap Light -USB"/>
    <n v="1570"/>
    <n v="2988"/>
    <n v="0.4745649263721553"/>
    <n v="7"/>
    <n v="2.1"/>
    <n v="1418"/>
    <s v="Poor Rating"/>
    <s v="High Discount"/>
    <x v="1"/>
  </r>
  <r>
    <s v="Wall Mount Automatic Toothpaste Dispenser Toothbrush Holder Toothpaste Squeezer"/>
    <n v="1526"/>
    <n v="1660"/>
    <n v="8.0722891566265054E-2"/>
    <n v="0"/>
    <s v="Not Provided"/>
    <n v="134"/>
    <s v="N/A"/>
    <s v="Low Discount"/>
    <x v="1"/>
  </r>
  <r>
    <s v="Wall-Mounted Toothbrush Toothpaste Holder With Multiple Slots"/>
    <n v="1468"/>
    <n v="1699"/>
    <n v="0.13596233078281342"/>
    <n v="0"/>
    <s v="Not Provided"/>
    <n v="231"/>
    <s v="N/A"/>
    <s v="Low Discount"/>
    <x v="1"/>
  </r>
  <r>
    <s v="Office Chair Lumbar Back Support Spine Posture Correction Pillow Car Cushion"/>
    <n v="1466"/>
    <n v="1699"/>
    <n v="0.13713949381989404"/>
    <n v="0"/>
    <s v="Not Provided"/>
    <n v="233"/>
    <s v="N/A"/>
    <s v="Low Discount"/>
    <x v="1"/>
  </r>
  <r>
    <s v="Portable Soap Dispenser Kitchen Detergent Press Box Kitchen Tools"/>
    <n v="1462"/>
    <n v="1499"/>
    <n v="2.46831220813876E-2"/>
    <n v="0"/>
    <s v="Not Provided"/>
    <n v="37"/>
    <s v="N/A"/>
    <s v="Low Discount"/>
    <x v="1"/>
  </r>
  <r>
    <s v="5m Waterproof Spherical LED String Lights Outdoor Ball Chain Lights Party Lighting Decoration Adjustable"/>
    <n v="1460"/>
    <n v="2290"/>
    <n v="0.36244541484716158"/>
    <n v="0"/>
    <s v="Not Provided"/>
    <n v="830"/>
    <s v="N/A"/>
    <s v="Medium Discount"/>
    <x v="1"/>
  </r>
  <r>
    <s v="Multi-purpose Rice Drainage Basket And Fruit And Vegetable Drainage Sieve"/>
    <n v="1459"/>
    <n v="1499"/>
    <n v="2.6684456304202801E-2"/>
    <n v="0"/>
    <s v="Not Provided"/>
    <n v="40"/>
    <s v="N/A"/>
    <s v="Low Discount"/>
    <x v="1"/>
  </r>
  <r>
    <s v="9pcs Gas Mask, For Painting, Dust, Formaldehyde Grinding, Polishing"/>
    <n v="1420"/>
    <n v="2420"/>
    <n v="0.41322314049586778"/>
    <n v="0"/>
    <s v="Not Provided"/>
    <n v="1000"/>
    <s v="N/A"/>
    <s v="High Discount"/>
    <x v="1"/>
  </r>
  <r>
    <s v="12 Litre Black Insulated Lunch Box"/>
    <n v="1350"/>
    <n v="1990"/>
    <n v="0.32160804020100503"/>
    <n v="13"/>
    <n v="3.8"/>
    <n v="640"/>
    <s v="Average Rating"/>
    <s v="Medium Discount"/>
    <x v="1"/>
  </r>
  <r>
    <s v="Portable Wine Table With Folding Round Table"/>
    <n v="1300"/>
    <n v="2500"/>
    <n v="0.48"/>
    <n v="0"/>
    <s v="Not Provided"/>
    <n v="1200"/>
    <s v="N/A"/>
    <s v="High Discount"/>
    <x v="1"/>
  </r>
  <r>
    <s v="LASA FOLDING TABLE SERVING STAND"/>
    <n v="1274"/>
    <n v="2800"/>
    <n v="0.54500000000000004"/>
    <n v="5"/>
    <n v="4.8"/>
    <n v="1526"/>
    <s v="Excellent Rating"/>
    <s v="High Discount"/>
    <x v="1"/>
  </r>
  <r>
    <s v="VIC Wireless Vacuum Cleaner Dual Use For Home And Car 120W High Power Powerful"/>
    <n v="1220"/>
    <n v="1555"/>
    <n v="0.21543408360128619"/>
    <n v="16"/>
    <n v="2.9"/>
    <n v="335"/>
    <s v="Poor Rating"/>
    <s v="Medium Discount"/>
    <x v="1"/>
  </r>
  <r>
    <s v="2PCS Ice Silk Square Cushion Cover Pillowcases - 65x65cm"/>
    <n v="1200"/>
    <n v="2400"/>
    <n v="0.5"/>
    <n v="0"/>
    <s v="Not Provided"/>
    <n v="1200"/>
    <s v="N/A"/>
    <s v="High Discount"/>
    <x v="1"/>
  </r>
  <r>
    <s v="2pcs Solar Street Light Flood Light Outdoor"/>
    <n v="1200"/>
    <n v="1950"/>
    <n v="0.38461538461538464"/>
    <n v="0"/>
    <s v="Not Provided"/>
    <n v="750"/>
    <s v="N/A"/>
    <s v="Medium Discount"/>
    <x v="1"/>
  </r>
  <r>
    <s v="Cartoon Embroidered Mini Towel Bear Cotton Wash Cloth Hand 4pcs"/>
    <n v="1190"/>
    <n v="1810"/>
    <n v="0.34254143646408841"/>
    <n v="0"/>
    <s v="Not Provided"/>
    <n v="620"/>
    <s v="N/A"/>
    <s v="Medium Discount"/>
    <x v="1"/>
  </r>
  <r>
    <s v="60W Hot Melt Glue Sprayer - Efficient And Stable Glue Dispensing"/>
    <n v="1190"/>
    <n v="1785"/>
    <n v="0.33333333333333331"/>
    <n v="0"/>
    <s v="Not Provided"/>
    <n v="595"/>
    <s v="N/A"/>
    <s v="Medium Discount"/>
    <x v="1"/>
  </r>
  <r>
    <s v="Memory Foam Neck Pillow Cover, With Pillow Core - 50*30cm"/>
    <n v="1189"/>
    <n v="2199"/>
    <n v="0.45929968167348795"/>
    <n v="1"/>
    <n v="3"/>
    <n v="1010"/>
    <s v="Average Rating"/>
    <s v="High Discount"/>
    <x v="1"/>
  </r>
  <r>
    <s v="LED Solar Street Light-fake Camera"/>
    <n v="1150"/>
    <n v="1737"/>
    <n v="0.3379389752446747"/>
    <n v="0"/>
    <s v="Not Provided"/>
    <n v="587"/>
    <s v="N/A"/>
    <s v="Medium Discount"/>
    <x v="1"/>
  </r>
  <r>
    <s v="8in1 Screwdriver With LED Light"/>
    <n v="1080"/>
    <n v="1874"/>
    <n v="0.42369263607257202"/>
    <n v="0"/>
    <s v="Not Provided"/>
    <n v="794"/>
    <s v="N/A"/>
    <s v="High Discount"/>
    <x v="1"/>
  </r>
  <r>
    <s v="380ML USB Rechargeable Portable Small Blenders And Juicers"/>
    <n v="1000"/>
    <n v="2000"/>
    <n v="0.5"/>
    <n v="7"/>
    <n v="2.2999999999999998"/>
    <n v="1000"/>
    <s v="Poor Rating"/>
    <s v="High Discount"/>
    <x v="1"/>
  </r>
  <r>
    <s v="Christmas Elk Fence Yard Lawn Decorations Cute For Holidays"/>
    <n v="999"/>
    <n v="2000"/>
    <n v="0.50049999999999994"/>
    <n v="0"/>
    <s v="Not Provided"/>
    <n v="1001"/>
    <s v="N/A"/>
    <s v="High Discount"/>
    <x v="1"/>
  </r>
  <r>
    <s v="3D Waterproof EVA Plastic Shower Curtain 1.8*2Mtrs"/>
    <n v="998"/>
    <n v="1966"/>
    <n v="0.49237029501525942"/>
    <n v="44"/>
    <n v="4.5999999999999996"/>
    <n v="968"/>
    <s v="Excellent Rating"/>
    <s v="High Discount"/>
    <x v="1"/>
  </r>
  <r>
    <s v="Artificial Potted Flowers Room Decorative Flowers (2 Pieces)"/>
    <n v="990"/>
    <n v="1814"/>
    <n v="0.45424476295479604"/>
    <n v="6"/>
    <n v="2.2000000000000002"/>
    <n v="824"/>
    <s v="Poor Rating"/>
    <s v="High Discount"/>
    <x v="1"/>
  </r>
  <r>
    <s v="100 Pcs Crochet Hook Tool Set Knitting Hook Set With Box"/>
    <n v="990"/>
    <n v="1500"/>
    <n v="0.34"/>
    <n v="39"/>
    <n v="4.7"/>
    <n v="510"/>
    <s v="Excellent Rating"/>
    <s v="Medium Discount"/>
    <x v="1"/>
  </r>
  <r>
    <s v="Desk Foldable Fan Adjustable Fan Strong Wind 3 Gear Usb"/>
    <n v="988"/>
    <n v="1580"/>
    <n v="0.37468354430379747"/>
    <n v="2"/>
    <n v="4"/>
    <n v="592"/>
    <s v="Average Rating"/>
    <s v="Medium Discount"/>
    <x v="1"/>
  </r>
  <r>
    <s v="12 Litre Insulated Lunch Box Grey"/>
    <n v="980"/>
    <n v="1490"/>
    <n v="0.34228187919463088"/>
    <n v="12"/>
    <n v="4.7"/>
    <n v="510"/>
    <s v="Excellent Rating"/>
    <s v="Medium Discount"/>
    <x v="1"/>
  </r>
  <r>
    <s v="Bedroom Simple Floor Hanging Clothes Rack Single Pole Hat Rack - White"/>
    <n v="979"/>
    <n v="1920"/>
    <n v="0.49010416666666667"/>
    <n v="1"/>
    <n v="5"/>
    <n v="941"/>
    <s v="Excellent Rating"/>
    <s v="High Discount"/>
    <x v="1"/>
  </r>
  <r>
    <s v="7-piece Set Of Storage Bags, Travel Storage Bags, Shoe Bags"/>
    <n v="968"/>
    <n v="1814"/>
    <n v="0.46637265711135611"/>
    <n v="6"/>
    <n v="2.2000000000000002"/>
    <n v="846"/>
    <s v="Poor Rating"/>
    <s v="High Discount"/>
    <x v="1"/>
  </r>
  <r>
    <s v="115  Piece Set Of Multifunctional Precision Screwdrivers"/>
    <n v="950"/>
    <n v="1525"/>
    <n v="0.37704918032786883"/>
    <n v="2"/>
    <n v="4.5"/>
    <n v="575"/>
    <s v="Excellent Rating"/>
    <s v="Medium Discount"/>
    <x v="1"/>
  </r>
  <r>
    <s v="6 Layers Steel Pipe Assembling Dustproof Storage Shoe Cabinet"/>
    <n v="899"/>
    <n v="1699"/>
    <n v="0.47086521483225424"/>
    <n v="0"/>
    <s v="Not Provided"/>
    <n v="800"/>
    <s v="N/A"/>
    <s v="High Discount"/>
    <x v="1"/>
  </r>
  <r>
    <s v="LED Romantic Spaceship Starry Sky Projector,Children's Bedroom Night Light-Blue"/>
    <n v="880"/>
    <n v="1350"/>
    <n v="0.34814814814814815"/>
    <n v="6"/>
    <n v="4"/>
    <n v="470"/>
    <s v="Average Rating"/>
    <s v="Medium Discount"/>
    <x v="1"/>
  </r>
  <r>
    <s v="Wall Clock With Hidden Safe Box"/>
    <n v="850"/>
    <n v="1700"/>
    <n v="0.5"/>
    <n v="0"/>
    <s v="Not Provided"/>
    <n v="850"/>
    <s v="N/A"/>
    <s v="High Discount"/>
    <x v="1"/>
  </r>
  <r>
    <s v="Angle Measuring Tool Full Metal Multi Angle Measuring Tool"/>
    <n v="799"/>
    <n v="1567"/>
    <n v="0.49010848755583919"/>
    <n v="0"/>
    <s v="Not Provided"/>
    <n v="768"/>
    <s v="N/A"/>
    <s v="High Discount"/>
    <x v="2"/>
  </r>
  <r>
    <s v="Cute Christmas Fence Garden Decorations For Holiday Home"/>
    <n v="799"/>
    <n v="1343"/>
    <n v="0.4050632911392405"/>
    <n v="0"/>
    <s v="Not Provided"/>
    <n v="544"/>
    <s v="N/A"/>
    <s v="High Discount"/>
    <x v="2"/>
  </r>
  <r>
    <s v="Genebre 115 In 1 Screwdriver Repairing Tool Set For IPhone Cellphone Hand Tool"/>
    <n v="799"/>
    <n v="999"/>
    <n v="0.20020020020020021"/>
    <n v="12"/>
    <n v="4.0999999999999996"/>
    <n v="200"/>
    <s v="Average Rating"/>
    <s v="Medium Discount"/>
    <x v="2"/>
  </r>
  <r>
    <s v="Outdoor Portable Water Bottle With Medicine Box - 600ML - Black"/>
    <n v="799"/>
    <n v="900"/>
    <n v="0.11222222222222222"/>
    <n v="0"/>
    <s v="Not Provided"/>
    <n v="101"/>
    <s v="N/A"/>
    <s v="Low Discount"/>
    <x v="2"/>
  </r>
  <r>
    <s v="2PCS/LOT Solar LED Outdoor Intelligent Light Controlled Wall Lamp"/>
    <n v="790"/>
    <n v="1485"/>
    <n v="0.46801346801346799"/>
    <n v="0"/>
    <s v="Not Provided"/>
    <n v="695"/>
    <s v="N/A"/>
    <s v="High Discount"/>
    <x v="2"/>
  </r>
  <r>
    <s v="Christmas Fence Garden Decorations Outdoor For Holiday Home"/>
    <n v="699"/>
    <n v="1343"/>
    <n v="0.47952345495160087"/>
    <n v="0"/>
    <s v="Not Provided"/>
    <n v="644"/>
    <s v="N/A"/>
    <s v="High Discount"/>
    <x v="2"/>
  </r>
  <r>
    <s v="3PCS Rotary Scraper Thermomix For Kitchen"/>
    <n v="690"/>
    <n v="1200"/>
    <n v="0.42499999999999999"/>
    <n v="0"/>
    <s v="Not Provided"/>
    <n v="510"/>
    <s v="N/A"/>
    <s v="High Discount"/>
    <x v="2"/>
  </r>
  <r>
    <s v="Car Phone Charging Stand"/>
    <n v="671"/>
    <n v="1316"/>
    <n v="0.49012158054711247"/>
    <n v="0"/>
    <s v="Not Provided"/>
    <n v="645"/>
    <s v="N/A"/>
    <s v="High Discount"/>
    <x v="2"/>
  </r>
  <r>
    <s v="Multifunctional Hanging Storage Box Storage Bag (4 Layers)"/>
    <n v="630"/>
    <n v="1100"/>
    <n v="0.42727272727272725"/>
    <n v="0"/>
    <s v="Not Provided"/>
    <n v="470"/>
    <s v="N/A"/>
    <s v="High Discount"/>
    <x v="2"/>
  </r>
  <r>
    <s v="Balloon Insert, Birthday Party Balloon Set, PU Leather"/>
    <n v="610"/>
    <n v="1060"/>
    <n v="0.42452830188679247"/>
    <n v="0"/>
    <s v="Not Provided"/>
    <n v="450"/>
    <s v="N/A"/>
    <s v="High Discount"/>
    <x v="2"/>
  </r>
  <r>
    <s v="40cm Gold DIY Acrylic Wall Sticker Clock"/>
    <n v="552"/>
    <n v="1035"/>
    <n v="0.46666666666666667"/>
    <n v="12"/>
    <n v="4.8"/>
    <n v="483"/>
    <s v="Excellent Rating"/>
    <s v="High Discount"/>
    <x v="2"/>
  </r>
  <r>
    <s v="Metal Decorative Hooks Key Hangers Entryway Wall Hooks Towel Hooks - Home"/>
    <n v="527"/>
    <n v="999"/>
    <n v="0.47247247247247248"/>
    <n v="14"/>
    <n v="4.0999999999999996"/>
    <n v="472"/>
    <s v="Average Rating"/>
    <s v="High Discount"/>
    <x v="2"/>
  </r>
  <r>
    <s v="Baby Early Education Shape And Color Cognitive Training Toys"/>
    <n v="525"/>
    <n v="1029"/>
    <n v="0.48979591836734693"/>
    <n v="0"/>
    <s v="Not Provided"/>
    <n v="504"/>
    <s v="N/A"/>
    <s v="High Discount"/>
    <x v="2"/>
  </r>
  <r>
    <s v="Wrought Iron Bathroom Shelf Wall Mounted Free Punch Toilet Rack"/>
    <n v="509"/>
    <n v="899"/>
    <n v="0.43381535038932145"/>
    <n v="5"/>
    <n v="3"/>
    <n v="390"/>
    <s v="Average Rating"/>
    <s v="High Discount"/>
    <x v="2"/>
  </r>
  <r>
    <s v="LASA Digital Thermometer And Hydrometer"/>
    <n v="501"/>
    <n v="860"/>
    <n v="0.41744186046511628"/>
    <n v="6"/>
    <n v="4.5"/>
    <n v="359"/>
    <s v="Excellent Rating"/>
    <s v="High Discount"/>
    <x v="2"/>
  </r>
  <r>
    <s v="Simple Metal Dog Art Sculpture Decoration For Home Office"/>
    <n v="499"/>
    <n v="900"/>
    <n v="0.44555555555555554"/>
    <n v="0"/>
    <s v="Not Provided"/>
    <n v="401"/>
    <s v="N/A"/>
    <s v="High Discount"/>
    <x v="2"/>
  </r>
  <r>
    <s v="4M Float Switch Water Level Controller -Water Tank"/>
    <n v="475"/>
    <n v="931"/>
    <n v="0.48979591836734693"/>
    <n v="0"/>
    <s v="Not Provided"/>
    <n v="456"/>
    <s v="N/A"/>
    <s v="High Discount"/>
    <x v="2"/>
  </r>
  <r>
    <s v="Mythco 120COB Solar Wall Ligt With Motion Sensor And Remote Control 3 Modes"/>
    <n v="458"/>
    <n v="986"/>
    <n v="0.53549695740365111"/>
    <n v="10"/>
    <n v="3"/>
    <n v="528"/>
    <s v="Average Rating"/>
    <s v="High Discount"/>
    <x v="2"/>
  </r>
  <r>
    <s v="Wall-mounted Sticker Punch-free Plug Fixer"/>
    <n v="450"/>
    <n v="900"/>
    <n v="0.5"/>
    <n v="1"/>
    <n v="2"/>
    <n v="450"/>
    <s v="Poor Rating"/>
    <s v="High Discount"/>
    <x v="2"/>
  </r>
  <r>
    <s v="120W Cordless Vacuum Cleaners Handheld Electric Vacuum Cleaner"/>
    <n v="445"/>
    <n v="873"/>
    <n v="0.49026345933562426"/>
    <n v="69"/>
    <n v="2.8"/>
    <n v="428"/>
    <s v="Poor Rating"/>
    <s v="High Discount"/>
    <x v="2"/>
  </r>
  <r>
    <s v="Electronic Digital Display Vernier Caliper"/>
    <n v="420"/>
    <n v="647"/>
    <n v="0.3508500772797527"/>
    <n v="49"/>
    <n v="4.5999999999999996"/>
    <n v="227"/>
    <s v="Excellent Rating"/>
    <s v="Medium Discount"/>
    <x v="2"/>
  </r>
  <r>
    <s v="Punch-free Great Load Bearing Bathroom Storage Rack Wall Shelf-White"/>
    <n v="389"/>
    <n v="656"/>
    <n v="0.40701219512195119"/>
    <n v="36"/>
    <n v="4.3"/>
    <n v="267"/>
    <s v="Average Rating"/>
    <s v="High Discount"/>
    <x v="2"/>
  </r>
  <r>
    <s v="Agapeon Toothbrush Holder And Toothpaste Dispenser"/>
    <n v="382"/>
    <n v="700"/>
    <n v="0.45428571428571429"/>
    <n v="17"/>
    <n v="2.6"/>
    <n v="318"/>
    <s v="Poor Rating"/>
    <s v="High Discount"/>
    <x v="2"/>
  </r>
  <r>
    <s v="Watercolour Gold Foil Textured Print Pillow Cover"/>
    <n v="345"/>
    <n v="602"/>
    <n v="0.42691029900332228"/>
    <n v="6"/>
    <n v="2.2999999999999998"/>
    <n v="257"/>
    <s v="Poor Rating"/>
    <s v="High Discount"/>
    <x v="2"/>
  </r>
  <r>
    <s v="Anti-Skid Absorbent Insulation Coaster  For Home Office"/>
    <n v="332"/>
    <n v="684"/>
    <n v="0.51461988304093564"/>
    <n v="2"/>
    <n v="5"/>
    <n v="352"/>
    <s v="Excellent Rating"/>
    <s v="High Discount"/>
    <x v="2"/>
  </r>
  <r>
    <s v="Household Pineapple Peeler Peeler"/>
    <n v="330"/>
    <n v="647"/>
    <n v="0.48995363214837712"/>
    <n v="1"/>
    <n v="4"/>
    <n v="317"/>
    <s v="Average Rating"/>
    <s v="High Discount"/>
    <x v="2"/>
  </r>
  <r>
    <s v="Intelligent  LED Body Sensor Wireless Lighting Night Light USB"/>
    <n v="325"/>
    <n v="680"/>
    <n v="0.5220588235294118"/>
    <n v="15"/>
    <n v="2.7"/>
    <n v="355"/>
    <s v="Poor Rating"/>
    <s v="High Discount"/>
    <x v="2"/>
  </r>
  <r>
    <s v="Brush &amp; Paintbrush Cleaning Tool Pink"/>
    <n v="299"/>
    <n v="600"/>
    <n v="0.50166666666666671"/>
    <n v="0"/>
    <s v="Not Provided"/>
    <n v="301"/>
    <s v="N/A"/>
    <s v="High Discount"/>
    <x v="2"/>
  </r>
  <r>
    <s v="Pilates Cloth Bag Waterproof Durable High Capacity Purple"/>
    <n v="299"/>
    <n v="384"/>
    <n v="0.22135416666666666"/>
    <n v="0"/>
    <s v="Not Provided"/>
    <n v="85"/>
    <s v="N/A"/>
    <s v="Medium Discount"/>
    <x v="2"/>
  </r>
  <r>
    <s v="Cartoon Car Decoration Cute Individuality For Car Home Desk"/>
    <n v="274"/>
    <n v="537"/>
    <n v="0.48975791433891991"/>
    <n v="0"/>
    <s v="Not Provided"/>
    <n v="263"/>
    <s v="N/A"/>
    <s v="High Discount"/>
    <x v="2"/>
  </r>
  <r>
    <s v="4 Piece Coloured Stainless Steel Kitchenware Set"/>
    <n v="248"/>
    <n v="486"/>
    <n v="0.48971193415637859"/>
    <n v="0"/>
    <s v="Not Provided"/>
    <n v="238"/>
    <s v="N/A"/>
    <s v="High Discount"/>
    <x v="2"/>
  </r>
  <r>
    <s v="Modern Sofa Throw Pillow Cover-45x45cm-Blue&amp;Red"/>
    <n v="238"/>
    <n v="476"/>
    <n v="0.5"/>
    <n v="0"/>
    <s v="Not Provided"/>
    <n v="238"/>
    <s v="N/A"/>
    <s v="High Discount"/>
    <x v="2"/>
  </r>
  <r>
    <s v="7PCS Silicone Thumb Knife Finger Protector Vegetable Harvesting Knife"/>
    <n v="230"/>
    <n v="450"/>
    <n v="0.48888888888888887"/>
    <n v="0"/>
    <s v="Not Provided"/>
    <n v="220"/>
    <s v="N/A"/>
    <s v="High Discount"/>
    <x v="2"/>
  </r>
  <r>
    <s v="6 In 1 Bottle Can Opener Multifunctional Easy Opener"/>
    <n v="199"/>
    <n v="553"/>
    <n v="0.64014466546112114"/>
    <n v="0"/>
    <s v="Not Provided"/>
    <n v="354"/>
    <s v="N/A"/>
    <s v="High Discount"/>
    <x v="2"/>
  </r>
  <r>
    <s v="Creative Owl Shape Keychain Black"/>
    <n v="199"/>
    <n v="504"/>
    <n v="0.60515873015873012"/>
    <n v="0"/>
    <s v="Not Provided"/>
    <n v="305"/>
    <s v="N/A"/>
    <s v="High Discount"/>
    <x v="2"/>
  </r>
  <r>
    <s v="1PC Refrigerator Food Seal Pocket Fridge Bags"/>
    <n v="198"/>
    <n v="260"/>
    <n v="0.23846153846153847"/>
    <n v="0"/>
    <s v="Not Provided"/>
    <n v="62"/>
    <s v="N/A"/>
    <s v="Medium Discount"/>
    <x v="2"/>
  </r>
  <r>
    <s v="Peacock  Throw Pillow Cushion Case For Home Car"/>
    <n v="195"/>
    <n v="360"/>
    <n v="0.45833333333333331"/>
    <n v="2"/>
    <n v="5"/>
    <n v="165"/>
    <s v="Excellent Rating"/>
    <s v="High Discount"/>
    <x v="2"/>
  </r>
  <r>
    <s v="Exfoliate And Exfoliate Face Towel - Black"/>
    <n v="185"/>
    <n v="382"/>
    <n v="0.51570680628272247"/>
    <n v="9"/>
    <n v="4.3"/>
    <n v="197"/>
    <s v="Average Rating"/>
    <s v="High Discount"/>
    <x v="2"/>
  </r>
  <r>
    <s v="Classic Black Cat Cotton Hemp Pillow Case For Home Car"/>
    <n v="171"/>
    <n v="360"/>
    <n v="0.52500000000000002"/>
    <n v="2"/>
    <n v="5"/>
    <n v="189"/>
    <s v="Excellent Rating"/>
    <s v="High Discount"/>
    <x v="2"/>
  </r>
  <r>
    <s v="Black Simple Water Cup Wine Coaster Anti Slip Absorbent"/>
    <n v="169"/>
    <n v="320"/>
    <n v="0.47187499999999999"/>
    <n v="0"/>
    <s v="Not Provided"/>
    <n v="151"/>
    <s v="N/A"/>
    <s v="High Discount"/>
    <x v="2"/>
  </r>
  <r>
    <s v="Sewing Machine Needle Threader Stitch Insertion Tool Automatic Quick Sewing"/>
    <n v="105"/>
    <n v="200"/>
    <n v="0.47499999999999998"/>
    <n v="0"/>
    <s v="Not Provided"/>
    <n v="95"/>
    <s v="N/A"/>
    <s v="High Discount"/>
    <x v="2"/>
  </r>
  <r>
    <s v="3PCS Single Head Knitting Crochet Sweater Needle Set"/>
    <n v="38"/>
    <n v="80"/>
    <n v="0.52500000000000002"/>
    <n v="13"/>
    <n v="3.3"/>
    <n v="42"/>
    <s v="Average Rating"/>
    <s v="High Discount"/>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9">
    <pivotField showAll="0"/>
    <pivotField dataField="1" numFmtId="164" showAll="0"/>
    <pivotField dataField="1" numFmtId="164" showAll="0"/>
    <pivotField dataField="1" numFmtId="10" showAll="0"/>
    <pivotField showAll="0"/>
    <pivotField dataField="1" showAll="0"/>
    <pivotField numFmtId="164" showAll="0"/>
    <pivotField showAll="0">
      <items count="5">
        <item x="0"/>
        <item x="1"/>
        <item x="2"/>
        <item x="3"/>
        <item t="default"/>
      </items>
    </pivotField>
    <pivotField showAll="0">
      <items count="4">
        <item x="2"/>
        <item x="1"/>
        <item x="0"/>
        <item t="default"/>
      </items>
    </pivotField>
  </pivotFields>
  <rowItems count="1">
    <i/>
  </rowItems>
  <colFields count="1">
    <field x="-2"/>
  </colFields>
  <colItems count="4">
    <i>
      <x/>
    </i>
    <i i="1">
      <x v="1"/>
    </i>
    <i i="2">
      <x v="2"/>
    </i>
    <i i="3">
      <x v="3"/>
    </i>
  </colItems>
  <dataFields count="4">
    <dataField name="Average of Current price" fld="1" subtotal="average" baseField="0" baseItem="1" numFmtId="164"/>
    <dataField name="Average of Old price" fld="2" subtotal="average" baseField="0" baseItem="1" numFmtId="164"/>
    <dataField name="Average of Discount" fld="3" subtotal="average" baseField="0" baseItem="1" numFmtId="9"/>
    <dataField name="Average of Rating" fld="5" subtotal="average" baseField="0" baseItem="1"/>
  </dataFields>
  <formats count="3">
    <format dxfId="56">
      <pivotArea outline="0" collapsedLevelsAreSubtotals="1" fieldPosition="0">
        <references count="1">
          <reference field="4294967294" count="1" selected="0">
            <x v="2"/>
          </reference>
        </references>
      </pivotArea>
    </format>
    <format dxfId="55">
      <pivotArea outline="0" collapsedLevelsAreSubtotals="1" fieldPosition="0">
        <references count="1">
          <reference field="4294967294" count="1" selected="0">
            <x v="1"/>
          </reference>
        </references>
      </pivotArea>
    </format>
    <format dxfId="5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4" firstHeaderRow="0" firstDataRow="1" firstDataCol="1" rowPageCount="1" colPageCount="1"/>
  <pivotFields count="9">
    <pivotField showAll="0"/>
    <pivotField numFmtId="164" showAll="0"/>
    <pivotField numFmtId="164" showAll="0"/>
    <pivotField axis="axisRow" dataField="1" numFmtId="10" showAll="0">
      <items count="16">
        <item x="0"/>
        <item x="1"/>
        <item x="2"/>
        <item x="3"/>
        <item x="4"/>
        <item x="5"/>
        <item x="6"/>
        <item x="7"/>
        <item x="8"/>
        <item x="9"/>
        <item x="10"/>
        <item x="11"/>
        <item x="12"/>
        <item x="13"/>
        <item x="14"/>
        <item t="default"/>
      </items>
    </pivotField>
    <pivotField dataField="1" showAll="0"/>
    <pivotField axis="axisPage" dataField="1" multipleItemSelectionAllowed="1" showAll="0">
      <items count="24">
        <item x="18"/>
        <item x="7"/>
        <item x="17"/>
        <item x="16"/>
        <item x="6"/>
        <item x="20"/>
        <item x="21"/>
        <item x="19"/>
        <item x="15"/>
        <item x="0"/>
        <item x="22"/>
        <item x="5"/>
        <item x="4"/>
        <item x="11"/>
        <item x="13"/>
        <item x="8"/>
        <item x="14"/>
        <item x="9"/>
        <item x="3"/>
        <item x="10"/>
        <item x="12"/>
        <item x="1"/>
        <item h="1" x="2"/>
        <item t="default"/>
      </items>
    </pivotField>
    <pivotField numFmtId="164" showAll="0"/>
    <pivotField showAll="0">
      <items count="5">
        <item x="0"/>
        <item x="1"/>
        <item x="2"/>
        <item x="3"/>
        <item t="default"/>
      </items>
    </pivotField>
    <pivotField showAll="0">
      <items count="4">
        <item x="2"/>
        <item x="1"/>
        <item x="0"/>
        <item t="default"/>
      </items>
    </pivotField>
  </pivotFields>
  <rowFields count="1">
    <field x="3"/>
  </rowFields>
  <rowItems count="11">
    <i>
      <x v="2"/>
    </i>
    <i>
      <x v="3"/>
    </i>
    <i>
      <x v="4"/>
    </i>
    <i>
      <x v="5"/>
    </i>
    <i>
      <x v="6"/>
    </i>
    <i>
      <x v="7"/>
    </i>
    <i>
      <x v="8"/>
    </i>
    <i>
      <x v="9"/>
    </i>
    <i>
      <x v="10"/>
    </i>
    <i>
      <x v="11"/>
    </i>
    <i t="grand">
      <x/>
    </i>
  </rowItems>
  <colFields count="1">
    <field x="-2"/>
  </colFields>
  <colItems count="3">
    <i>
      <x/>
    </i>
    <i i="1">
      <x v="1"/>
    </i>
    <i i="2">
      <x v="2"/>
    </i>
  </colItems>
  <pageFields count="1">
    <pageField fld="5" hier="-1"/>
  </pageFields>
  <dataFields count="3">
    <dataField name="Average of Review" fld="4" subtotal="average" baseField="3" baseItem="2"/>
    <dataField name="Average of Rating" fld="5" subtotal="average" baseField="3" baseItem="4"/>
    <dataField name="Average of Discount" fld="3" subtotal="average" baseField="3" baseItem="2"/>
  </dataFields>
  <formats count="4">
    <format dxfId="53">
      <pivotArea collapsedLevelsAreSubtotals="1" fieldPosition="0">
        <references count="2">
          <reference field="4294967294" count="1" selected="0">
            <x v="2"/>
          </reference>
          <reference field="3" count="10">
            <x v="2"/>
            <x v="3"/>
            <x v="4"/>
            <x v="5"/>
            <x v="6"/>
            <x v="7"/>
            <x v="8"/>
            <x v="9"/>
            <x v="10"/>
            <x v="11"/>
          </reference>
        </references>
      </pivotArea>
    </format>
    <format dxfId="52">
      <pivotArea field="3" grandRow="1" outline="0" collapsedLevelsAreSubtotals="1" axis="axisRow" fieldPosition="0">
        <references count="1">
          <reference field="4294967294" count="1" selected="0">
            <x v="2"/>
          </reference>
        </references>
      </pivotArea>
    </format>
    <format dxfId="51">
      <pivotArea collapsedLevelsAreSubtotals="1" fieldPosition="0">
        <references count="2">
          <reference field="4294967294" count="1" selected="0">
            <x v="0"/>
          </reference>
          <reference field="3" count="13">
            <x v="1"/>
            <x v="2"/>
            <x v="3"/>
            <x v="4"/>
            <x v="5"/>
            <x v="6"/>
            <x v="7"/>
            <x v="8"/>
            <x v="9"/>
            <x v="10"/>
            <x v="11"/>
            <x v="12"/>
            <x v="13"/>
          </reference>
        </references>
      </pivotArea>
    </format>
    <format dxfId="50">
      <pivotArea collapsedLevelsAreSubtotals="1" fieldPosition="0">
        <references count="2">
          <reference field="4294967294" count="1" selected="0">
            <x v="1"/>
          </reference>
          <reference field="3" count="10">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9">
    <pivotField dataField="1" showAll="0"/>
    <pivotField numFmtId="164" showAll="0"/>
    <pivotField numFmtId="164" showAll="0"/>
    <pivotField numFmtId="10" showAll="0"/>
    <pivotField showAll="0"/>
    <pivotField showAll="0"/>
    <pivotField numFmtId="164" showAll="0"/>
    <pivotField axis="axisRow" showAll="0">
      <items count="5">
        <item x="0"/>
        <item x="1"/>
        <item x="2"/>
        <item x="3"/>
        <item t="default"/>
      </items>
    </pivotField>
    <pivotField showAll="0">
      <items count="4">
        <item x="2"/>
        <item x="1"/>
        <item x="0"/>
        <item t="default"/>
      </items>
    </pivotField>
  </pivotFields>
  <rowFields count="1">
    <field x="7"/>
  </rowFields>
  <rowItems count="5">
    <i>
      <x/>
    </i>
    <i>
      <x v="1"/>
    </i>
    <i>
      <x v="2"/>
    </i>
    <i>
      <x v="3"/>
    </i>
    <i t="grand">
      <x/>
    </i>
  </rowItems>
  <colItems count="1">
    <i/>
  </colItems>
  <dataFields count="1">
    <dataField name="Count of Product" fld="0" subtotal="count"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7" firstHeaderRow="1" firstDataRow="1" firstDataCol="1"/>
  <pivotFields count="9">
    <pivotField showAll="0"/>
    <pivotField numFmtId="164" showAll="0"/>
    <pivotField numFmtId="164" showAll="0"/>
    <pivotField axis="axisRow" numFmtId="10" showAll="0">
      <items count="16">
        <item x="0"/>
        <item x="1"/>
        <item x="2"/>
        <item x="3"/>
        <item x="4"/>
        <item x="5"/>
        <item x="6"/>
        <item x="7"/>
        <item x="8"/>
        <item x="9"/>
        <item x="10"/>
        <item x="11"/>
        <item x="12"/>
        <item x="13"/>
        <item x="14"/>
        <item t="default"/>
      </items>
    </pivotField>
    <pivotField dataField="1" showAll="0"/>
    <pivotField showAll="0"/>
    <pivotField numFmtId="164" showAll="0"/>
    <pivotField showAll="0">
      <items count="5">
        <item x="0"/>
        <item x="1"/>
        <item x="2"/>
        <item x="3"/>
        <item t="default"/>
      </items>
    </pivotField>
    <pivotField showAll="0">
      <items count="4">
        <item x="2"/>
        <item x="1"/>
        <item x="0"/>
        <item t="default"/>
      </items>
    </pivotField>
  </pivotFields>
  <rowFields count="1">
    <field x="3"/>
  </rowFields>
  <rowItems count="14">
    <i>
      <x v="1"/>
    </i>
    <i>
      <x v="2"/>
    </i>
    <i>
      <x v="3"/>
    </i>
    <i>
      <x v="4"/>
    </i>
    <i>
      <x v="5"/>
    </i>
    <i>
      <x v="6"/>
    </i>
    <i>
      <x v="7"/>
    </i>
    <i>
      <x v="8"/>
    </i>
    <i>
      <x v="9"/>
    </i>
    <i>
      <x v="10"/>
    </i>
    <i>
      <x v="11"/>
    </i>
    <i>
      <x v="12"/>
    </i>
    <i>
      <x v="13"/>
    </i>
    <i t="grand">
      <x/>
    </i>
  </rowItems>
  <colItems count="1">
    <i/>
  </colItems>
  <dataFields count="1">
    <dataField name="Sum of Review" fld="4" baseField="3" baseItem="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7" firstHeaderRow="1" firstDataRow="1" firstDataCol="1"/>
  <pivotFields count="9">
    <pivotField showAll="0"/>
    <pivotField numFmtId="164" showAll="0"/>
    <pivotField numFmtId="164" showAll="0"/>
    <pivotField numFmtId="10" showAll="0"/>
    <pivotField dataField="1" showAll="0"/>
    <pivotField axis="axisRow" showAll="0">
      <items count="24">
        <item x="18"/>
        <item x="7"/>
        <item x="17"/>
        <item x="16"/>
        <item x="6"/>
        <item x="20"/>
        <item x="21"/>
        <item x="19"/>
        <item x="15"/>
        <item x="0"/>
        <item x="22"/>
        <item x="5"/>
        <item x="4"/>
        <item x="11"/>
        <item x="13"/>
        <item x="8"/>
        <item x="14"/>
        <item x="9"/>
        <item x="3"/>
        <item x="10"/>
        <item x="12"/>
        <item x="1"/>
        <item x="2"/>
        <item t="default"/>
      </items>
    </pivotField>
    <pivotField numFmtId="164" showAll="0"/>
    <pivotField showAll="0">
      <items count="5">
        <item x="0"/>
        <item x="1"/>
        <item x="2"/>
        <item x="3"/>
        <item t="default"/>
      </items>
    </pivotField>
    <pivotField showAll="0">
      <items count="4">
        <item x="2"/>
        <item x="1"/>
        <item x="0"/>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4"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7" firstHeaderRow="1" firstDataRow="1" firstDataCol="1"/>
  <pivotFields count="9">
    <pivotField showAll="0"/>
    <pivotField numFmtId="164" showAll="0"/>
    <pivotField numFmtId="164" showAll="0"/>
    <pivotField axis="axisRow" numFmtId="10" showAll="0">
      <items count="16">
        <item x="0"/>
        <item x="1"/>
        <item x="2"/>
        <item x="3"/>
        <item x="4"/>
        <item x="5"/>
        <item x="6"/>
        <item x="7"/>
        <item x="8"/>
        <item x="9"/>
        <item x="10"/>
        <item x="11"/>
        <item x="12"/>
        <item x="13"/>
        <item x="14"/>
        <item t="default"/>
      </items>
    </pivotField>
    <pivotField dataField="1" showAll="0"/>
    <pivotField showAll="0"/>
    <pivotField numFmtId="164" showAll="0"/>
    <pivotField showAll="0">
      <items count="5">
        <item x="0"/>
        <item x="1"/>
        <item x="2"/>
        <item x="3"/>
        <item t="default"/>
      </items>
    </pivotField>
    <pivotField showAll="0">
      <items count="4">
        <item x="2"/>
        <item x="1"/>
        <item x="0"/>
        <item t="default"/>
      </items>
    </pivotField>
  </pivotFields>
  <rowFields count="1">
    <field x="3"/>
  </rowFields>
  <rowItems count="14">
    <i>
      <x v="1"/>
    </i>
    <i>
      <x v="2"/>
    </i>
    <i>
      <x v="3"/>
    </i>
    <i>
      <x v="4"/>
    </i>
    <i>
      <x v="5"/>
    </i>
    <i>
      <x v="6"/>
    </i>
    <i>
      <x v="7"/>
    </i>
    <i>
      <x v="8"/>
    </i>
    <i>
      <x v="9"/>
    </i>
    <i>
      <x v="10"/>
    </i>
    <i>
      <x v="11"/>
    </i>
    <i>
      <x v="12"/>
    </i>
    <i>
      <x v="13"/>
    </i>
    <i t="grand">
      <x/>
    </i>
  </rowItems>
  <colItems count="1">
    <i/>
  </colItems>
  <dataFields count="1">
    <dataField name="Sum of Review" fld="4" baseField="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9">
    <pivotField showAll="0"/>
    <pivotField numFmtId="164" showAll="0"/>
    <pivotField numFmtId="164" showAll="0"/>
    <pivotField numFmtId="10" showAll="0"/>
    <pivotField dataField="1" showAll="0"/>
    <pivotField showAll="0"/>
    <pivotField numFmtId="164" showAll="0"/>
    <pivotField axis="axisRow" showAll="0">
      <items count="5">
        <item x="0"/>
        <item x="1"/>
        <item x="2"/>
        <item x="3"/>
        <item t="default"/>
      </items>
    </pivotField>
    <pivotField showAll="0">
      <items count="4">
        <item x="2"/>
        <item x="1"/>
        <item x="0"/>
        <item t="default"/>
      </items>
    </pivotField>
  </pivotFields>
  <rowFields count="1">
    <field x="7"/>
  </rowFields>
  <rowItems count="5">
    <i>
      <x/>
    </i>
    <i>
      <x v="1"/>
    </i>
    <i>
      <x v="2"/>
    </i>
    <i>
      <x v="3"/>
    </i>
    <i t="grand">
      <x/>
    </i>
  </rowItems>
  <colItems count="1">
    <i/>
  </colItems>
  <dataFields count="1">
    <dataField name="Sum of Review" fld="4"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4" firstHeaderRow="1" firstDataRow="1" firstDataCol="1" rowPageCount="1" colPageCount="1"/>
  <pivotFields count="9">
    <pivotField axis="axisRow" showAll="0" measureFilter="1" sortType="descending">
      <items count="110">
        <item x="80"/>
        <item x="34"/>
        <item x="90"/>
        <item x="37"/>
        <item x="85"/>
        <item x="36"/>
        <item x="66"/>
        <item x="46"/>
        <item x="23"/>
        <item x="82"/>
        <item x="30"/>
        <item x="13"/>
        <item x="107"/>
        <item x="88"/>
        <item x="44"/>
        <item x="5"/>
        <item x="39"/>
        <item x="11"/>
        <item x="25"/>
        <item x="95"/>
        <item x="29"/>
        <item x="103"/>
        <item x="70"/>
        <item x="38"/>
        <item x="84"/>
        <item x="41"/>
        <item x="10"/>
        <item x="75"/>
        <item x="27"/>
        <item x="98"/>
        <item x="2"/>
        <item x="78"/>
        <item x="51"/>
        <item x="3"/>
        <item x="52"/>
        <item x="65"/>
        <item x="21"/>
        <item x="7"/>
        <item x="45"/>
        <item x="81"/>
        <item x="16"/>
        <item x="15"/>
        <item x="9"/>
        <item x="1"/>
        <item x="93"/>
        <item x="92"/>
        <item x="69"/>
        <item x="31"/>
        <item x="104"/>
        <item x="87"/>
        <item x="35"/>
        <item x="32"/>
        <item x="59"/>
        <item x="68"/>
        <item x="26"/>
        <item x="101"/>
        <item x="105"/>
        <item x="72"/>
        <item x="55"/>
        <item x="49"/>
        <item x="96"/>
        <item x="74"/>
        <item x="94"/>
        <item x="106"/>
        <item x="61"/>
        <item x="76"/>
        <item x="79"/>
        <item x="57"/>
        <item x="91"/>
        <item x="67"/>
        <item x="89"/>
        <item x="42"/>
        <item x="53"/>
        <item x="62"/>
        <item x="99"/>
        <item x="50"/>
        <item x="64"/>
        <item x="100"/>
        <item x="14"/>
        <item x="40"/>
        <item x="18"/>
        <item x="17"/>
        <item x="24"/>
        <item x="12"/>
        <item x="20"/>
        <item x="83"/>
        <item x="77"/>
        <item x="97"/>
        <item x="108"/>
        <item x="73"/>
        <item x="56"/>
        <item x="54"/>
        <item x="0"/>
        <item x="71"/>
        <item x="48"/>
        <item x="47"/>
        <item x="19"/>
        <item x="4"/>
        <item x="28"/>
        <item x="102"/>
        <item x="8"/>
        <item x="33"/>
        <item x="6"/>
        <item x="86"/>
        <item x="60"/>
        <item x="43"/>
        <item x="63"/>
        <item x="58"/>
        <item x="22"/>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showAll="0"/>
    <pivotField dataField="1" showAll="0"/>
    <pivotField numFmtId="164" showAll="0"/>
    <pivotField axis="axisPage" multipleItemSelectionAllowed="1" showAll="0">
      <items count="5">
        <item x="0"/>
        <item x="1"/>
        <item x="2"/>
        <item x="3"/>
        <item t="default"/>
      </items>
    </pivotField>
    <pivotField showAll="0">
      <items count="4">
        <item x="2"/>
        <item x="1"/>
        <item x="0"/>
        <item t="default"/>
      </items>
    </pivotField>
  </pivotFields>
  <rowFields count="1">
    <field x="0"/>
  </rowFields>
  <rowItems count="11">
    <i>
      <x v="51"/>
    </i>
    <i>
      <x v="64"/>
    </i>
    <i>
      <x v="56"/>
    </i>
    <i>
      <x v="21"/>
    </i>
    <i>
      <x v="68"/>
    </i>
    <i>
      <x v="40"/>
    </i>
    <i>
      <x v="43"/>
    </i>
    <i>
      <x v="38"/>
    </i>
    <i>
      <x v="86"/>
    </i>
    <i>
      <x v="18"/>
    </i>
    <i t="grand">
      <x/>
    </i>
  </rowItems>
  <colItems count="1">
    <i/>
  </colItems>
  <pageFields count="1">
    <pageField fld="7" hier="-1"/>
  </pageFields>
  <dataFields count="1">
    <dataField name="Sum of Rating" fld="5" baseField="0" baseItem="68"/>
  </dataFields>
  <chartFormats count="3">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axis="axisRow" showAll="0" measureFilter="1" sortType="descending">
      <items count="110">
        <item x="22"/>
        <item x="58"/>
        <item x="63"/>
        <item x="43"/>
        <item x="60"/>
        <item x="86"/>
        <item x="6"/>
        <item x="33"/>
        <item x="8"/>
        <item x="102"/>
        <item x="28"/>
        <item x="4"/>
        <item x="19"/>
        <item x="47"/>
        <item x="48"/>
        <item x="71"/>
        <item x="0"/>
        <item x="54"/>
        <item x="56"/>
        <item x="73"/>
        <item x="108"/>
        <item x="97"/>
        <item x="77"/>
        <item x="83"/>
        <item x="20"/>
        <item x="12"/>
        <item x="24"/>
        <item x="17"/>
        <item x="18"/>
        <item x="40"/>
        <item x="14"/>
        <item x="100"/>
        <item x="64"/>
        <item x="50"/>
        <item x="99"/>
        <item x="62"/>
        <item x="53"/>
        <item x="42"/>
        <item x="89"/>
        <item x="67"/>
        <item x="91"/>
        <item x="57"/>
        <item x="79"/>
        <item x="76"/>
        <item x="61"/>
        <item x="106"/>
        <item x="94"/>
        <item x="74"/>
        <item x="96"/>
        <item x="49"/>
        <item x="55"/>
        <item x="72"/>
        <item x="105"/>
        <item x="101"/>
        <item x="26"/>
        <item x="68"/>
        <item x="59"/>
        <item x="32"/>
        <item x="35"/>
        <item x="87"/>
        <item x="104"/>
        <item x="31"/>
        <item x="69"/>
        <item x="92"/>
        <item x="93"/>
        <item x="1"/>
        <item x="9"/>
        <item x="15"/>
        <item x="16"/>
        <item x="81"/>
        <item x="45"/>
        <item x="7"/>
        <item x="21"/>
        <item x="65"/>
        <item x="52"/>
        <item x="3"/>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dataField="1" showAll="0"/>
    <pivotField showAll="0"/>
    <pivotField numFmtId="164" showAll="0"/>
    <pivotField showAll="0">
      <items count="5">
        <item x="0"/>
        <item x="1"/>
        <item x="2"/>
        <item x="3"/>
        <item t="default"/>
      </items>
    </pivotField>
    <pivotField showAll="0">
      <items count="4">
        <item x="2"/>
        <item x="1"/>
        <item x="0"/>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9">
    <pivotField axis="axisRow" showAll="0" measureFilter="1" sortType="descending">
      <items count="110">
        <item x="22"/>
        <item x="58"/>
        <item x="63"/>
        <item x="43"/>
        <item x="60"/>
        <item x="86"/>
        <item x="6"/>
        <item x="33"/>
        <item x="8"/>
        <item x="102"/>
        <item x="28"/>
        <item x="4"/>
        <item x="19"/>
        <item x="47"/>
        <item x="48"/>
        <item x="71"/>
        <item x="0"/>
        <item x="54"/>
        <item x="56"/>
        <item x="73"/>
        <item x="108"/>
        <item x="97"/>
        <item x="77"/>
        <item x="83"/>
        <item x="20"/>
        <item x="12"/>
        <item x="24"/>
        <item x="17"/>
        <item x="18"/>
        <item x="40"/>
        <item x="14"/>
        <item x="100"/>
        <item x="64"/>
        <item x="50"/>
        <item x="99"/>
        <item x="62"/>
        <item x="53"/>
        <item x="42"/>
        <item x="89"/>
        <item x="67"/>
        <item x="91"/>
        <item x="57"/>
        <item x="79"/>
        <item x="76"/>
        <item x="61"/>
        <item x="106"/>
        <item x="94"/>
        <item x="74"/>
        <item x="96"/>
        <item x="49"/>
        <item x="55"/>
        <item x="72"/>
        <item x="105"/>
        <item x="101"/>
        <item x="26"/>
        <item x="68"/>
        <item x="59"/>
        <item x="32"/>
        <item x="35"/>
        <item x="87"/>
        <item x="104"/>
        <item x="31"/>
        <item x="69"/>
        <item x="92"/>
        <item x="93"/>
        <item x="1"/>
        <item x="9"/>
        <item x="15"/>
        <item x="16"/>
        <item x="81"/>
        <item x="45"/>
        <item x="7"/>
        <item x="21"/>
        <item x="65"/>
        <item x="52"/>
        <item x="3"/>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0" showAll="0"/>
    <pivotField showAll="0"/>
    <pivotField showAll="0"/>
    <pivotField numFmtId="164" showAll="0"/>
    <pivotField showAll="0">
      <items count="5">
        <item x="0"/>
        <item x="1"/>
        <item x="2"/>
        <item x="3"/>
        <item t="default"/>
      </items>
    </pivotField>
    <pivotField showAll="0">
      <items count="4">
        <item x="2"/>
        <item x="1"/>
        <item x="0"/>
        <item t="default"/>
      </items>
    </pivotField>
  </pivotFields>
  <rowFields count="1">
    <field x="0"/>
  </rowFields>
  <rowItems count="11">
    <i>
      <x v="31"/>
    </i>
    <i>
      <x v="53"/>
    </i>
    <i>
      <x v="30"/>
    </i>
    <i>
      <x v="70"/>
    </i>
    <i>
      <x v="67"/>
    </i>
    <i>
      <x v="84"/>
    </i>
    <i>
      <x v="52"/>
    </i>
    <i>
      <x v="20"/>
    </i>
    <i>
      <x v="64"/>
    </i>
    <i>
      <x v="60"/>
    </i>
    <i t="grand">
      <x/>
    </i>
  </rowItems>
  <colItems count="1">
    <i/>
  </colItems>
  <dataFields count="1">
    <dataField name="Max of Discount" fld="3" subtotal="max" baseField="0" baseItem="0"/>
  </dataFields>
  <formats count="1">
    <format dxfId="49">
      <pivotArea collapsedLevelsAreSubtotals="1" fieldPosition="0">
        <references count="1">
          <reference field="0" count="10">
            <x v="20"/>
            <x v="30"/>
            <x v="31"/>
            <x v="52"/>
            <x v="53"/>
            <x v="60"/>
            <x v="64"/>
            <x v="67"/>
            <x v="70"/>
            <x v="84"/>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9">
    <pivotField showAll="0"/>
    <pivotField numFmtId="164" showAll="0"/>
    <pivotField numFmtId="164" showAll="0"/>
    <pivotField numFmtId="10" showAll="0"/>
    <pivotField showAll="0"/>
    <pivotField showAll="0"/>
    <pivotField numFmtId="164" showAll="0"/>
    <pivotField axis="axisRow" dataField="1" showAll="0">
      <items count="5">
        <item x="0"/>
        <item x="1"/>
        <item x="2"/>
        <item x="3"/>
        <item t="default"/>
      </items>
    </pivotField>
    <pivotField showAll="0">
      <items count="4">
        <item x="2"/>
        <item x="1"/>
        <item x="0"/>
        <item t="default"/>
      </items>
    </pivotField>
  </pivotFields>
  <rowFields count="1">
    <field x="7"/>
  </rowFields>
  <rowItems count="5">
    <i>
      <x/>
    </i>
    <i>
      <x v="1"/>
    </i>
    <i>
      <x v="2"/>
    </i>
    <i>
      <x v="3"/>
    </i>
    <i t="grand">
      <x/>
    </i>
  </rowItems>
  <colItems count="1">
    <i/>
  </colItems>
  <dataFields count="1">
    <dataField name="Count of Rating Category" fld="7"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7" count="1" selected="0">
            <x v="0"/>
          </reference>
        </references>
      </pivotArea>
    </chartFormat>
    <chartFormat chart="4" format="18">
      <pivotArea type="data" outline="0" fieldPosition="0">
        <references count="2">
          <reference field="4294967294" count="1" selected="0">
            <x v="0"/>
          </reference>
          <reference field="7" count="1" selected="0">
            <x v="1"/>
          </reference>
        </references>
      </pivotArea>
    </chartFormat>
    <chartFormat chart="4" format="19">
      <pivotArea type="data" outline="0" fieldPosition="0">
        <references count="2">
          <reference field="4294967294" count="1" selected="0">
            <x v="0"/>
          </reference>
          <reference field="7" count="1" selected="0">
            <x v="2"/>
          </reference>
        </references>
      </pivotArea>
    </chartFormat>
    <chartFormat chart="4" format="2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D7" firstHeaderRow="0" firstDataRow="1" firstDataCol="1"/>
  <pivotFields count="9">
    <pivotField dataField="1" showAll="0"/>
    <pivotField numFmtId="164" showAll="0"/>
    <pivotField numFmtId="164" showAll="0"/>
    <pivotField numFmtId="10" showAll="0"/>
    <pivotField dataField="1" showAll="0"/>
    <pivotField dataField="1" showAll="0"/>
    <pivotField numFmtId="164" showAll="0"/>
    <pivotField showAll="0">
      <items count="5">
        <item x="0"/>
        <item x="1"/>
        <item x="2"/>
        <item x="3"/>
        <item t="default"/>
      </items>
    </pivotField>
    <pivotField axis="axisRow" showAll="0">
      <items count="4">
        <item x="2"/>
        <item x="1"/>
        <item x="0"/>
        <item t="default"/>
      </items>
    </pivotField>
  </pivotFields>
  <rowFields count="1">
    <field x="8"/>
  </rowFields>
  <rowItems count="4">
    <i>
      <x/>
    </i>
    <i>
      <x v="1"/>
    </i>
    <i>
      <x v="2"/>
    </i>
    <i t="grand">
      <x/>
    </i>
  </rowItems>
  <colFields count="1">
    <field x="-2"/>
  </colFields>
  <colItems count="3">
    <i>
      <x/>
    </i>
    <i i="1">
      <x v="1"/>
    </i>
    <i i="2">
      <x v="2"/>
    </i>
  </colItems>
  <dataFields count="3">
    <dataField name="Count of Product" fld="0" subtotal="count" baseField="0" baseItem="0"/>
    <dataField name="Sum of Review" fld="4" baseField="0" baseItem="0"/>
    <dataField name="Sum of Rating" fld="5" baseField="8" baseItem="0"/>
  </dataFields>
  <chartFormats count="33">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8" count="1" selected="0">
            <x v="0"/>
          </reference>
        </references>
      </pivotArea>
    </chartFormat>
    <chartFormat chart="4" format="15">
      <pivotArea type="data" outline="0" fieldPosition="0">
        <references count="2">
          <reference field="4294967294" count="1" selected="0">
            <x v="0"/>
          </reference>
          <reference field="8" count="1" selected="0">
            <x v="1"/>
          </reference>
        </references>
      </pivotArea>
    </chartFormat>
    <chartFormat chart="4" format="16">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4" format="17"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4" format="19">
      <pivotArea type="data" outline="0" fieldPosition="0">
        <references count="2">
          <reference field="4294967294" count="1" selected="0">
            <x v="1"/>
          </reference>
          <reference field="8" count="1" selected="0">
            <x v="0"/>
          </reference>
        </references>
      </pivotArea>
    </chartFormat>
    <chartFormat chart="4" format="20">
      <pivotArea type="data" outline="0" fieldPosition="0">
        <references count="2">
          <reference field="4294967294" count="1" selected="0">
            <x v="1"/>
          </reference>
          <reference field="8" count="1" selected="0">
            <x v="1"/>
          </reference>
        </references>
      </pivotArea>
    </chartFormat>
    <chartFormat chart="4" format="21">
      <pivotArea type="data" outline="0" fieldPosition="0">
        <references count="2">
          <reference field="4294967294" count="1" selected="0">
            <x v="1"/>
          </reference>
          <reference field="8" count="1" selected="0">
            <x v="2"/>
          </reference>
        </references>
      </pivotArea>
    </chartFormat>
    <chartFormat chart="4" format="22">
      <pivotArea type="data" outline="0" fieldPosition="0">
        <references count="2">
          <reference field="4294967294" count="1" selected="0">
            <x v="2"/>
          </reference>
          <reference field="8" count="1" selected="0">
            <x v="0"/>
          </reference>
        </references>
      </pivotArea>
    </chartFormat>
    <chartFormat chart="4" format="23">
      <pivotArea type="data" outline="0" fieldPosition="0">
        <references count="2">
          <reference field="4294967294" count="1" selected="0">
            <x v="2"/>
          </reference>
          <reference field="8" count="1" selected="0">
            <x v="1"/>
          </reference>
        </references>
      </pivotArea>
    </chartFormat>
    <chartFormat chart="4" format="24">
      <pivotArea type="data" outline="0" fieldPosition="0">
        <references count="2">
          <reference field="4294967294" count="1" selected="0">
            <x v="2"/>
          </reference>
          <reference field="8" count="1" selected="0">
            <x v="2"/>
          </reference>
        </references>
      </pivotArea>
    </chartFormat>
    <chartFormat chart="0" format="6">
      <pivotArea type="data" outline="0" fieldPosition="0">
        <references count="2">
          <reference field="4294967294" count="1" selected="0">
            <x v="1"/>
          </reference>
          <reference field="8" count="1" selected="0">
            <x v="0"/>
          </reference>
        </references>
      </pivotArea>
    </chartFormat>
    <chartFormat chart="0" format="7">
      <pivotArea type="data" outline="0" fieldPosition="0">
        <references count="2">
          <reference field="4294967294" count="1" selected="0">
            <x v="1"/>
          </reference>
          <reference field="8" count="1" selected="0">
            <x v="1"/>
          </reference>
        </references>
      </pivotArea>
    </chartFormat>
    <chartFormat chart="0" format="8">
      <pivotArea type="data" outline="0" fieldPosition="0">
        <references count="2">
          <reference field="4294967294" count="1" selected="0">
            <x v="1"/>
          </reference>
          <reference field="8" count="1" selected="0">
            <x v="2"/>
          </reference>
        </references>
      </pivotArea>
    </chartFormat>
    <chartFormat chart="0" format="9">
      <pivotArea type="data" outline="0" fieldPosition="0">
        <references count="2">
          <reference field="4294967294" count="1" selected="0">
            <x v="2"/>
          </reference>
          <reference field="8" count="1" selected="0">
            <x v="0"/>
          </reference>
        </references>
      </pivotArea>
    </chartFormat>
    <chartFormat chart="0" format="10">
      <pivotArea type="data" outline="0" fieldPosition="0">
        <references count="2">
          <reference field="4294967294" count="1" selected="0">
            <x v="2"/>
          </reference>
          <reference field="8" count="1" selected="0">
            <x v="1"/>
          </reference>
        </references>
      </pivotArea>
    </chartFormat>
    <chartFormat chart="0" format="11">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2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dataField="1" showAll="0"/>
    <pivotField numFmtId="164" showAll="0"/>
    <pivotField numFmtId="164" showAll="0"/>
    <pivotField numFmtId="10" showAll="0"/>
    <pivotField showAll="0"/>
    <pivotField showAll="0"/>
    <pivotField numFmtId="164" showAll="0"/>
    <pivotField showAll="0"/>
    <pivotField showAll="0"/>
    <pivotField axis="axisRow" showAll="0">
      <items count="4">
        <item x="0"/>
        <item x="2"/>
        <item x="1"/>
        <item t="default"/>
      </items>
    </pivotField>
  </pivotFields>
  <rowFields count="1">
    <field x="9"/>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1000000}" sourceName="Rating Category">
  <pivotTables>
    <pivotTable tabId="13" name="PivotTable11"/>
    <pivotTable tabId="12" name="PivotTable10"/>
    <pivotTable tabId="10" name="PivotTable8"/>
    <pivotTable tabId="14" name="PivotTable12"/>
    <pivotTable tabId="16" name="PivotTable14"/>
    <pivotTable tabId="17" name="PivotTable15"/>
    <pivotTable tabId="15" name="PivotTable13"/>
    <pivotTable tabId="18" name="PivotTable16"/>
    <pivotTable tabId="20" name="PivotTable17"/>
    <pivotTable tabId="21" name="PivotTable18"/>
    <pivotTable tabId="24" name="PivotTable19"/>
    <pivotTable tabId="25" name="PivotTable20"/>
  </pivotTables>
  <data>
    <tabular pivotCacheId="31574604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0000000-0013-0000-FFFF-FFFF02000000}" sourceName="Discount Category">
  <pivotTables>
    <pivotTable tabId="13" name="PivotTable11"/>
    <pivotTable tabId="12" name="PivotTable10"/>
    <pivotTable tabId="10" name="PivotTable8"/>
    <pivotTable tabId="14" name="PivotTable12"/>
    <pivotTable tabId="16" name="PivotTable14"/>
    <pivotTable tabId="17" name="PivotTable15"/>
    <pivotTable tabId="15" name="PivotTable13"/>
    <pivotTable tabId="18" name="PivotTable16"/>
    <pivotTable tabId="20" name="PivotTable17"/>
    <pivotTable tabId="21" name="PivotTable18"/>
    <pivotTable tabId="24" name="PivotTable19"/>
    <pivotTable tabId="25" name="PivotTable20"/>
  </pivotTables>
  <data>
    <tabular pivotCacheId="3157460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_range" xr10:uid="{00000000-0013-0000-FFFF-FFFF03000000}" sourceName="Current price range">
  <pivotTables>
    <pivotTable tabId="27" name="PivotTable22"/>
  </pivotTables>
  <data>
    <tabular pivotCacheId="1901763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00000000-0014-0000-FFFF-FFFF01000000}" cache="Slicer_Rating_Category" caption="Rating Category" rowHeight="241300"/>
  <slicer name="Discount Category" xr10:uid="{00000000-0014-0000-FFFF-FFFF02000000}" cache="Slicer_Discount_Category"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range" xr10:uid="{00000000-0014-0000-FFFF-FFFF03000000}" cache="Slicer_Current_price_range" caption="Current price ran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00000000-0014-0000-FFFF-FFFF04000000}" cache="Slicer_Rating_Category" caption="Rating Category" rowHeight="241300"/>
  <slicer name="Discount Category 1" xr10:uid="{00000000-0014-0000-FFFF-FFFF05000000}" cache="Slicer_Discount_Category" caption="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4"/>
  <sheetViews>
    <sheetView workbookViewId="0">
      <selection activeCell="D13" sqref="D13"/>
    </sheetView>
  </sheetViews>
  <sheetFormatPr defaultRowHeight="15" x14ac:dyDescent="0.25"/>
  <cols>
    <col min="1" max="1" width="23" bestFit="1" customWidth="1"/>
    <col min="2" max="2" width="19.28515625" bestFit="1" customWidth="1"/>
    <col min="3" max="3" width="19" bestFit="1" customWidth="1"/>
    <col min="4" max="4" width="16.7109375" bestFit="1" customWidth="1"/>
  </cols>
  <sheetData>
    <row r="3" spans="1:4" x14ac:dyDescent="0.25">
      <c r="A3" t="s">
        <v>147</v>
      </c>
      <c r="B3" t="s">
        <v>146</v>
      </c>
      <c r="C3" t="s">
        <v>124</v>
      </c>
      <c r="D3" t="s">
        <v>123</v>
      </c>
    </row>
    <row r="4" spans="1:4" x14ac:dyDescent="0.25">
      <c r="A4" s="4">
        <v>1208.2568807339449</v>
      </c>
      <c r="B4" s="4">
        <v>1837.7522935779816</v>
      </c>
      <c r="C4" s="1">
        <v>0.3631685196073503</v>
      </c>
      <c r="D4" s="11">
        <v>3.8894736842105262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election activeCell="A8" sqref="A8"/>
    </sheetView>
  </sheetViews>
  <sheetFormatPr defaultRowHeight="15" x14ac:dyDescent="0.25"/>
  <cols>
    <col min="1" max="1" width="36.7109375" bestFit="1" customWidth="1"/>
    <col min="2" max="2" width="17.85546875" bestFit="1" customWidth="1"/>
    <col min="3" max="3" width="16.7109375" bestFit="1" customWidth="1"/>
    <col min="4" max="4" width="19" bestFit="1" customWidth="1"/>
  </cols>
  <sheetData>
    <row r="1" spans="1:4" x14ac:dyDescent="0.25">
      <c r="A1" s="9" t="s">
        <v>113</v>
      </c>
      <c r="B1" t="s">
        <v>151</v>
      </c>
    </row>
    <row r="3" spans="1:4" x14ac:dyDescent="0.25">
      <c r="A3" s="9" t="s">
        <v>118</v>
      </c>
      <c r="B3" t="s">
        <v>148</v>
      </c>
      <c r="C3" t="s">
        <v>123</v>
      </c>
      <c r="D3" t="s">
        <v>124</v>
      </c>
    </row>
    <row r="4" spans="1:4" x14ac:dyDescent="0.25">
      <c r="A4" s="12" t="s">
        <v>128</v>
      </c>
      <c r="B4" s="14">
        <v>15</v>
      </c>
      <c r="C4" s="14">
        <v>4</v>
      </c>
      <c r="D4" s="1">
        <v>8.8449848024316116E-2</v>
      </c>
    </row>
    <row r="5" spans="1:4" x14ac:dyDescent="0.25">
      <c r="A5" s="12" t="s">
        <v>129</v>
      </c>
      <c r="B5" s="14">
        <v>6</v>
      </c>
      <c r="C5" s="14">
        <v>2.5</v>
      </c>
      <c r="D5" s="1">
        <v>0.13200000000000001</v>
      </c>
    </row>
    <row r="6" spans="1:4" x14ac:dyDescent="0.25">
      <c r="A6" s="12" t="s">
        <v>130</v>
      </c>
      <c r="B6" s="14">
        <v>7.5</v>
      </c>
      <c r="C6" s="14">
        <v>4.375</v>
      </c>
      <c r="D6" s="1">
        <v>0.19447117451591198</v>
      </c>
    </row>
    <row r="7" spans="1:4" x14ac:dyDescent="0.25">
      <c r="A7" s="12" t="s">
        <v>131</v>
      </c>
      <c r="B7" s="14">
        <v>22.8</v>
      </c>
      <c r="C7" s="14">
        <v>4.26</v>
      </c>
      <c r="D7" s="1">
        <v>0.23846027301055508</v>
      </c>
    </row>
    <row r="8" spans="1:4" x14ac:dyDescent="0.25">
      <c r="A8" s="12" t="s">
        <v>132</v>
      </c>
      <c r="B8" s="14">
        <v>19.25</v>
      </c>
      <c r="C8" s="14">
        <v>4.0749999999999993</v>
      </c>
      <c r="D8" s="1">
        <v>0.28024038840792242</v>
      </c>
    </row>
    <row r="9" spans="1:4" x14ac:dyDescent="0.25">
      <c r="A9" s="12" t="s">
        <v>133</v>
      </c>
      <c r="B9" s="14">
        <v>18.571428571428573</v>
      </c>
      <c r="C9" s="14">
        <v>4.3571428571428568</v>
      </c>
      <c r="D9" s="1">
        <v>0.33770751008483491</v>
      </c>
    </row>
    <row r="10" spans="1:4" x14ac:dyDescent="0.25">
      <c r="A10" s="12" t="s">
        <v>134</v>
      </c>
      <c r="B10" s="14">
        <v>8.8333333333333339</v>
      </c>
      <c r="C10" s="14">
        <v>4.25</v>
      </c>
      <c r="D10" s="1">
        <v>0.38563510259595429</v>
      </c>
    </row>
    <row r="11" spans="1:4" x14ac:dyDescent="0.25">
      <c r="A11" s="12" t="s">
        <v>135</v>
      </c>
      <c r="B11" s="14">
        <v>6</v>
      </c>
      <c r="C11" s="14">
        <v>3.3</v>
      </c>
      <c r="D11" s="1">
        <v>0.44475868492513715</v>
      </c>
    </row>
    <row r="12" spans="1:4" x14ac:dyDescent="0.25">
      <c r="A12" s="12" t="s">
        <v>136</v>
      </c>
      <c r="B12" s="14">
        <v>14.5</v>
      </c>
      <c r="C12" s="14">
        <v>3.6</v>
      </c>
      <c r="D12" s="1">
        <v>0.48427759898721306</v>
      </c>
    </row>
    <row r="13" spans="1:4" x14ac:dyDescent="0.25">
      <c r="A13" s="12" t="s">
        <v>137</v>
      </c>
      <c r="B13" s="14">
        <v>8.4444444444444446</v>
      </c>
      <c r="C13" s="14">
        <v>3.8333333333333335</v>
      </c>
      <c r="D13" s="1">
        <v>0.53086348434951214</v>
      </c>
    </row>
    <row r="14" spans="1:4" x14ac:dyDescent="0.25">
      <c r="A14" s="12" t="s">
        <v>122</v>
      </c>
      <c r="B14" s="11">
        <v>12.684210526315789</v>
      </c>
      <c r="C14" s="11">
        <v>3.8894736842105266</v>
      </c>
      <c r="D14" s="1">
        <v>0.38836022240939055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L24" sqref="L24"/>
    </sheetView>
  </sheetViews>
  <sheetFormatPr defaultRowHeight="15" x14ac:dyDescent="0.25"/>
  <cols>
    <col min="1" max="1" width="15.28515625" bestFit="1" customWidth="1"/>
    <col min="2" max="2" width="16" bestFit="1" customWidth="1"/>
  </cols>
  <sheetData>
    <row r="3" spans="1:2" x14ac:dyDescent="0.25">
      <c r="A3" s="9" t="s">
        <v>118</v>
      </c>
      <c r="B3" t="s">
        <v>144</v>
      </c>
    </row>
    <row r="4" spans="1:2" x14ac:dyDescent="0.25">
      <c r="A4" s="10" t="s">
        <v>140</v>
      </c>
      <c r="B4" s="11">
        <v>22</v>
      </c>
    </row>
    <row r="5" spans="1:2" x14ac:dyDescent="0.25">
      <c r="A5" s="10" t="s">
        <v>141</v>
      </c>
      <c r="B5" s="11">
        <v>23</v>
      </c>
    </row>
    <row r="6" spans="1:2" x14ac:dyDescent="0.25">
      <c r="A6" s="10" t="s">
        <v>142</v>
      </c>
      <c r="B6" s="11">
        <v>52</v>
      </c>
    </row>
    <row r="7" spans="1:2" x14ac:dyDescent="0.25">
      <c r="A7" s="10" t="s">
        <v>143</v>
      </c>
      <c r="B7" s="11">
        <v>12</v>
      </c>
    </row>
    <row r="8" spans="1:2" x14ac:dyDescent="0.25">
      <c r="A8" s="10" t="s">
        <v>122</v>
      </c>
      <c r="B8" s="11">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7"/>
  <sheetViews>
    <sheetView workbookViewId="0">
      <selection activeCell="A9" sqref="A9"/>
    </sheetView>
  </sheetViews>
  <sheetFormatPr defaultRowHeight="15" x14ac:dyDescent="0.25"/>
  <cols>
    <col min="1" max="1" width="37.7109375" bestFit="1" customWidth="1"/>
    <col min="2" max="2" width="14.28515625" bestFit="1" customWidth="1"/>
  </cols>
  <sheetData>
    <row r="3" spans="1:2" x14ac:dyDescent="0.25">
      <c r="A3" s="9" t="s">
        <v>118</v>
      </c>
      <c r="B3" t="s">
        <v>126</v>
      </c>
    </row>
    <row r="4" spans="1:2" x14ac:dyDescent="0.25">
      <c r="A4" s="12" t="s">
        <v>127</v>
      </c>
      <c r="B4" s="11">
        <v>0</v>
      </c>
    </row>
    <row r="5" spans="1:2" x14ac:dyDescent="0.25">
      <c r="A5" s="12" t="s">
        <v>128</v>
      </c>
      <c r="B5" s="11">
        <v>15</v>
      </c>
    </row>
    <row r="6" spans="1:2" x14ac:dyDescent="0.25">
      <c r="A6" s="12" t="s">
        <v>129</v>
      </c>
      <c r="B6" s="11">
        <v>6</v>
      </c>
    </row>
    <row r="7" spans="1:2" x14ac:dyDescent="0.25">
      <c r="A7" s="12" t="s">
        <v>130</v>
      </c>
      <c r="B7" s="11">
        <v>30</v>
      </c>
    </row>
    <row r="8" spans="1:2" x14ac:dyDescent="0.25">
      <c r="A8" s="12" t="s">
        <v>131</v>
      </c>
      <c r="B8" s="11">
        <v>114</v>
      </c>
    </row>
    <row r="9" spans="1:2" x14ac:dyDescent="0.25">
      <c r="A9" s="12" t="s">
        <v>132</v>
      </c>
      <c r="B9" s="11">
        <v>77</v>
      </c>
    </row>
    <row r="10" spans="1:2" x14ac:dyDescent="0.25">
      <c r="A10" s="12" t="s">
        <v>133</v>
      </c>
      <c r="B10" s="11">
        <v>130</v>
      </c>
    </row>
    <row r="11" spans="1:2" x14ac:dyDescent="0.25">
      <c r="A11" s="12" t="s">
        <v>134</v>
      </c>
      <c r="B11" s="11">
        <v>53</v>
      </c>
    </row>
    <row r="12" spans="1:2" x14ac:dyDescent="0.25">
      <c r="A12" s="12" t="s">
        <v>135</v>
      </c>
      <c r="B12" s="11">
        <v>48</v>
      </c>
    </row>
    <row r="13" spans="1:2" x14ac:dyDescent="0.25">
      <c r="A13" s="12" t="s">
        <v>136</v>
      </c>
      <c r="B13" s="11">
        <v>174</v>
      </c>
    </row>
    <row r="14" spans="1:2" x14ac:dyDescent="0.25">
      <c r="A14" s="12" t="s">
        <v>137</v>
      </c>
      <c r="B14" s="11">
        <v>76</v>
      </c>
    </row>
    <row r="15" spans="1:2" x14ac:dyDescent="0.25">
      <c r="A15" s="12" t="s">
        <v>138</v>
      </c>
      <c r="B15" s="11">
        <v>0</v>
      </c>
    </row>
    <row r="16" spans="1:2" x14ac:dyDescent="0.25">
      <c r="A16" s="12" t="s">
        <v>139</v>
      </c>
      <c r="B16" s="11">
        <v>0</v>
      </c>
    </row>
    <row r="17" spans="1:2" x14ac:dyDescent="0.25">
      <c r="A17" s="12" t="s">
        <v>122</v>
      </c>
      <c r="B17" s="11">
        <v>723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27"/>
  <sheetViews>
    <sheetView workbookViewId="0">
      <selection activeCell="H7" sqref="H7"/>
    </sheetView>
  </sheetViews>
  <sheetFormatPr defaultRowHeight="15" x14ac:dyDescent="0.25"/>
  <cols>
    <col min="1" max="1" width="13.140625" bestFit="1" customWidth="1"/>
    <col min="2" max="2" width="14.28515625" bestFit="1" customWidth="1"/>
  </cols>
  <sheetData>
    <row r="3" spans="1:2" x14ac:dyDescent="0.25">
      <c r="A3" s="9" t="s">
        <v>118</v>
      </c>
      <c r="B3" t="s">
        <v>126</v>
      </c>
    </row>
    <row r="4" spans="1:2" x14ac:dyDescent="0.25">
      <c r="A4" s="10">
        <v>2</v>
      </c>
      <c r="B4" s="11">
        <v>1</v>
      </c>
    </row>
    <row r="5" spans="1:2" x14ac:dyDescent="0.25">
      <c r="A5" s="10">
        <v>2.1</v>
      </c>
      <c r="B5" s="11">
        <v>20</v>
      </c>
    </row>
    <row r="6" spans="1:2" x14ac:dyDescent="0.25">
      <c r="A6" s="10">
        <v>2.2000000000000002</v>
      </c>
      <c r="B6" s="11">
        <v>12</v>
      </c>
    </row>
    <row r="7" spans="1:2" x14ac:dyDescent="0.25">
      <c r="A7" s="10">
        <v>2.2999999999999998</v>
      </c>
      <c r="B7" s="11">
        <v>13</v>
      </c>
    </row>
    <row r="8" spans="1:2" x14ac:dyDescent="0.25">
      <c r="A8" s="10">
        <v>2.5</v>
      </c>
      <c r="B8" s="11">
        <v>6</v>
      </c>
    </row>
    <row r="9" spans="1:2" x14ac:dyDescent="0.25">
      <c r="A9" s="10">
        <v>2.6</v>
      </c>
      <c r="B9" s="11">
        <v>17</v>
      </c>
    </row>
    <row r="10" spans="1:2" x14ac:dyDescent="0.25">
      <c r="A10" s="10">
        <v>2.7</v>
      </c>
      <c r="B10" s="11">
        <v>15</v>
      </c>
    </row>
    <row r="11" spans="1:2" x14ac:dyDescent="0.25">
      <c r="A11" s="10">
        <v>2.8</v>
      </c>
      <c r="B11" s="11">
        <v>69</v>
      </c>
    </row>
    <row r="12" spans="1:2" x14ac:dyDescent="0.25">
      <c r="A12" s="10">
        <v>2.9</v>
      </c>
      <c r="B12" s="11">
        <v>16</v>
      </c>
    </row>
    <row r="13" spans="1:2" x14ac:dyDescent="0.25">
      <c r="A13" s="10">
        <v>3</v>
      </c>
      <c r="B13" s="11">
        <v>26</v>
      </c>
    </row>
    <row r="14" spans="1:2" x14ac:dyDescent="0.25">
      <c r="A14" s="10">
        <v>3.3</v>
      </c>
      <c r="B14" s="11">
        <v>13</v>
      </c>
    </row>
    <row r="15" spans="1:2" x14ac:dyDescent="0.25">
      <c r="A15" s="10">
        <v>3.8</v>
      </c>
      <c r="B15" s="11">
        <v>30</v>
      </c>
    </row>
    <row r="16" spans="1:2" x14ac:dyDescent="0.25">
      <c r="A16" s="10">
        <v>4</v>
      </c>
      <c r="B16" s="11">
        <v>24</v>
      </c>
    </row>
    <row r="17" spans="1:2" x14ac:dyDescent="0.25">
      <c r="A17" s="10">
        <v>4.0999999999999996</v>
      </c>
      <c r="B17" s="11">
        <v>46</v>
      </c>
    </row>
    <row r="18" spans="1:2" x14ac:dyDescent="0.25">
      <c r="A18" s="10">
        <v>4.2</v>
      </c>
      <c r="B18" s="11">
        <v>9</v>
      </c>
    </row>
    <row r="19" spans="1:2" x14ac:dyDescent="0.25">
      <c r="A19" s="10">
        <v>4.3</v>
      </c>
      <c r="B19" s="11">
        <v>61</v>
      </c>
    </row>
    <row r="20" spans="1:2" x14ac:dyDescent="0.25">
      <c r="A20" s="10">
        <v>4.4000000000000004</v>
      </c>
      <c r="B20" s="11">
        <v>14</v>
      </c>
    </row>
    <row r="21" spans="1:2" x14ac:dyDescent="0.25">
      <c r="A21" s="10">
        <v>4.5</v>
      </c>
      <c r="B21" s="11">
        <v>42</v>
      </c>
    </row>
    <row r="22" spans="1:2" x14ac:dyDescent="0.25">
      <c r="A22" s="10">
        <v>4.5999999999999996</v>
      </c>
      <c r="B22" s="11">
        <v>177</v>
      </c>
    </row>
    <row r="23" spans="1:2" x14ac:dyDescent="0.25">
      <c r="A23" s="10">
        <v>4.7</v>
      </c>
      <c r="B23" s="11">
        <v>78</v>
      </c>
    </row>
    <row r="24" spans="1:2" x14ac:dyDescent="0.25">
      <c r="A24" s="10">
        <v>4.8</v>
      </c>
      <c r="B24" s="11">
        <v>22</v>
      </c>
    </row>
    <row r="25" spans="1:2" x14ac:dyDescent="0.25">
      <c r="A25" s="10">
        <v>5</v>
      </c>
      <c r="B25" s="11">
        <v>12</v>
      </c>
    </row>
    <row r="26" spans="1:2" x14ac:dyDescent="0.25">
      <c r="A26" s="10" t="s">
        <v>114</v>
      </c>
      <c r="B26" s="11">
        <v>0</v>
      </c>
    </row>
    <row r="27" spans="1:2" x14ac:dyDescent="0.25">
      <c r="A27" s="10" t="s">
        <v>122</v>
      </c>
      <c r="B27" s="11">
        <v>723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7"/>
  <sheetViews>
    <sheetView workbookViewId="0">
      <selection activeCell="L32" sqref="L32"/>
    </sheetView>
  </sheetViews>
  <sheetFormatPr defaultRowHeight="15" x14ac:dyDescent="0.25"/>
  <cols>
    <col min="1" max="1" width="37.7109375" bestFit="1" customWidth="1"/>
    <col min="2" max="2" width="14.28515625" bestFit="1" customWidth="1"/>
  </cols>
  <sheetData>
    <row r="3" spans="1:2" x14ac:dyDescent="0.25">
      <c r="A3" s="9" t="s">
        <v>118</v>
      </c>
      <c r="B3" t="s">
        <v>126</v>
      </c>
    </row>
    <row r="4" spans="1:2" x14ac:dyDescent="0.25">
      <c r="A4" s="12" t="s">
        <v>127</v>
      </c>
      <c r="B4" s="11">
        <v>0</v>
      </c>
    </row>
    <row r="5" spans="1:2" x14ac:dyDescent="0.25">
      <c r="A5" s="12" t="s">
        <v>128</v>
      </c>
      <c r="B5" s="11">
        <v>15</v>
      </c>
    </row>
    <row r="6" spans="1:2" x14ac:dyDescent="0.25">
      <c r="A6" s="12" t="s">
        <v>129</v>
      </c>
      <c r="B6" s="11">
        <v>6</v>
      </c>
    </row>
    <row r="7" spans="1:2" x14ac:dyDescent="0.25">
      <c r="A7" s="12" t="s">
        <v>130</v>
      </c>
      <c r="B7" s="11">
        <v>30</v>
      </c>
    </row>
    <row r="8" spans="1:2" x14ac:dyDescent="0.25">
      <c r="A8" s="12" t="s">
        <v>131</v>
      </c>
      <c r="B8" s="11">
        <v>114</v>
      </c>
    </row>
    <row r="9" spans="1:2" x14ac:dyDescent="0.25">
      <c r="A9" s="12" t="s">
        <v>132</v>
      </c>
      <c r="B9" s="11">
        <v>77</v>
      </c>
    </row>
    <row r="10" spans="1:2" x14ac:dyDescent="0.25">
      <c r="A10" s="12" t="s">
        <v>133</v>
      </c>
      <c r="B10" s="11">
        <v>130</v>
      </c>
    </row>
    <row r="11" spans="1:2" x14ac:dyDescent="0.25">
      <c r="A11" s="12" t="s">
        <v>134</v>
      </c>
      <c r="B11" s="11">
        <v>53</v>
      </c>
    </row>
    <row r="12" spans="1:2" x14ac:dyDescent="0.25">
      <c r="A12" s="12" t="s">
        <v>135</v>
      </c>
      <c r="B12" s="11">
        <v>48</v>
      </c>
    </row>
    <row r="13" spans="1:2" x14ac:dyDescent="0.25">
      <c r="A13" s="12" t="s">
        <v>136</v>
      </c>
      <c r="B13" s="11">
        <v>174</v>
      </c>
    </row>
    <row r="14" spans="1:2" x14ac:dyDescent="0.25">
      <c r="A14" s="12" t="s">
        <v>137</v>
      </c>
      <c r="B14" s="11">
        <v>76</v>
      </c>
    </row>
    <row r="15" spans="1:2" x14ac:dyDescent="0.25">
      <c r="A15" s="12" t="s">
        <v>138</v>
      </c>
      <c r="B15" s="11">
        <v>0</v>
      </c>
    </row>
    <row r="16" spans="1:2" x14ac:dyDescent="0.25">
      <c r="A16" s="12" t="s">
        <v>139</v>
      </c>
      <c r="B16" s="11">
        <v>0</v>
      </c>
    </row>
    <row r="17" spans="1:2" x14ac:dyDescent="0.25">
      <c r="A17" s="12" t="s">
        <v>122</v>
      </c>
      <c r="B17" s="11">
        <v>723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workbookViewId="0">
      <selection activeCell="R33" sqref="R33"/>
    </sheetView>
  </sheetViews>
  <sheetFormatPr defaultRowHeight="15" x14ac:dyDescent="0.25"/>
  <cols>
    <col min="1" max="1" width="15.28515625" bestFit="1" customWidth="1"/>
    <col min="2" max="2" width="14.28515625" bestFit="1" customWidth="1"/>
  </cols>
  <sheetData>
    <row r="3" spans="1:2" x14ac:dyDescent="0.25">
      <c r="A3" s="9" t="s">
        <v>118</v>
      </c>
      <c r="B3" t="s">
        <v>126</v>
      </c>
    </row>
    <row r="4" spans="1:2" x14ac:dyDescent="0.25">
      <c r="A4" s="10" t="s">
        <v>140</v>
      </c>
      <c r="B4" s="11">
        <v>223</v>
      </c>
    </row>
    <row r="5" spans="1:2" x14ac:dyDescent="0.25">
      <c r="A5" s="10" t="s">
        <v>141</v>
      </c>
      <c r="B5" s="11">
        <v>331</v>
      </c>
    </row>
    <row r="6" spans="1:2" x14ac:dyDescent="0.25">
      <c r="A6" s="10" t="s">
        <v>142</v>
      </c>
      <c r="B6" s="11">
        <v>0</v>
      </c>
    </row>
    <row r="7" spans="1:2" x14ac:dyDescent="0.25">
      <c r="A7" s="10" t="s">
        <v>143</v>
      </c>
      <c r="B7" s="11">
        <v>169</v>
      </c>
    </row>
    <row r="8" spans="1:2" x14ac:dyDescent="0.25">
      <c r="A8" s="10" t="s">
        <v>122</v>
      </c>
      <c r="B8" s="11">
        <v>723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election activeCell="A9" sqref="A9"/>
    </sheetView>
  </sheetViews>
  <sheetFormatPr defaultRowHeight="15" x14ac:dyDescent="0.25"/>
  <cols>
    <col min="1" max="1" width="69.85546875" bestFit="1" customWidth="1"/>
    <col min="2" max="2" width="13.28515625" bestFit="1" customWidth="1"/>
    <col min="3" max="3" width="14.28515625" bestFit="1" customWidth="1"/>
    <col min="4" max="4" width="4.5703125" bestFit="1" customWidth="1"/>
    <col min="5" max="5" width="11.140625" bestFit="1" customWidth="1"/>
    <col min="6" max="6" width="11.28515625" bestFit="1" customWidth="1"/>
  </cols>
  <sheetData>
    <row r="1" spans="1:2" x14ac:dyDescent="0.25">
      <c r="A1" s="9" t="s">
        <v>116</v>
      </c>
      <c r="B1" t="s">
        <v>150</v>
      </c>
    </row>
    <row r="3" spans="1:2" x14ac:dyDescent="0.25">
      <c r="A3" s="9" t="s">
        <v>118</v>
      </c>
      <c r="B3" t="s">
        <v>149</v>
      </c>
    </row>
    <row r="4" spans="1:2" x14ac:dyDescent="0.25">
      <c r="A4" s="10" t="s">
        <v>39</v>
      </c>
      <c r="B4" s="11">
        <v>5</v>
      </c>
    </row>
    <row r="5" spans="1:2" x14ac:dyDescent="0.25">
      <c r="A5" s="10" t="s">
        <v>82</v>
      </c>
      <c r="B5" s="11">
        <v>5</v>
      </c>
    </row>
    <row r="6" spans="1:2" x14ac:dyDescent="0.25">
      <c r="A6" s="10" t="s">
        <v>40</v>
      </c>
      <c r="B6" s="11">
        <v>5</v>
      </c>
    </row>
    <row r="7" spans="1:2" x14ac:dyDescent="0.25">
      <c r="A7" s="10" t="s">
        <v>20</v>
      </c>
      <c r="B7" s="11">
        <v>5</v>
      </c>
    </row>
    <row r="8" spans="1:2" x14ac:dyDescent="0.25">
      <c r="A8" s="10" t="s">
        <v>19</v>
      </c>
      <c r="B8" s="11">
        <v>5</v>
      </c>
    </row>
    <row r="9" spans="1:2" x14ac:dyDescent="0.25">
      <c r="A9" s="10" t="s">
        <v>21</v>
      </c>
      <c r="B9" s="11">
        <v>5</v>
      </c>
    </row>
    <row r="10" spans="1:2" x14ac:dyDescent="0.25">
      <c r="A10" s="10" t="s">
        <v>102</v>
      </c>
      <c r="B10" s="11">
        <v>5</v>
      </c>
    </row>
    <row r="11" spans="1:2" x14ac:dyDescent="0.25">
      <c r="A11" s="10" t="s">
        <v>12</v>
      </c>
      <c r="B11" s="11">
        <v>4.8</v>
      </c>
    </row>
    <row r="12" spans="1:2" x14ac:dyDescent="0.25">
      <c r="A12" s="10" t="s">
        <v>16</v>
      </c>
      <c r="B12" s="11">
        <v>4.8</v>
      </c>
    </row>
    <row r="13" spans="1:2" x14ac:dyDescent="0.25">
      <c r="A13" s="10" t="s">
        <v>8</v>
      </c>
      <c r="B13" s="11">
        <v>4.8</v>
      </c>
    </row>
    <row r="14" spans="1:2" x14ac:dyDescent="0.25">
      <c r="A14" s="10" t="s">
        <v>122</v>
      </c>
      <c r="B14" s="11">
        <v>49.4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4"/>
  <sheetViews>
    <sheetView workbookViewId="0">
      <selection activeCell="A7" sqref="A7"/>
    </sheetView>
  </sheetViews>
  <sheetFormatPr defaultRowHeight="15" x14ac:dyDescent="0.25"/>
  <cols>
    <col min="1" max="1" width="66" bestFit="1" customWidth="1"/>
    <col min="2" max="2" width="14.28515625" bestFit="1" customWidth="1"/>
  </cols>
  <sheetData>
    <row r="3" spans="1:2" x14ac:dyDescent="0.25">
      <c r="A3" s="9" t="s">
        <v>118</v>
      </c>
      <c r="B3" t="s">
        <v>126</v>
      </c>
    </row>
    <row r="4" spans="1:2" x14ac:dyDescent="0.25">
      <c r="A4" s="10" t="s">
        <v>65</v>
      </c>
      <c r="B4" s="11">
        <v>69</v>
      </c>
    </row>
    <row r="5" spans="1:2" x14ac:dyDescent="0.25">
      <c r="A5" s="10" t="s">
        <v>10</v>
      </c>
      <c r="B5" s="11">
        <v>55</v>
      </c>
    </row>
    <row r="6" spans="1:2" x14ac:dyDescent="0.25">
      <c r="A6" s="10" t="s">
        <v>29</v>
      </c>
      <c r="B6" s="11">
        <v>49</v>
      </c>
    </row>
    <row r="7" spans="1:2" x14ac:dyDescent="0.25">
      <c r="A7" s="10" t="s">
        <v>23</v>
      </c>
      <c r="B7" s="11">
        <v>44</v>
      </c>
    </row>
    <row r="8" spans="1:2" x14ac:dyDescent="0.25">
      <c r="A8" s="10" t="s">
        <v>15</v>
      </c>
      <c r="B8" s="11">
        <v>39</v>
      </c>
    </row>
    <row r="9" spans="1:2" x14ac:dyDescent="0.25">
      <c r="A9" s="10" t="s">
        <v>41</v>
      </c>
      <c r="B9" s="11">
        <v>36</v>
      </c>
    </row>
    <row r="10" spans="1:2" x14ac:dyDescent="0.25">
      <c r="A10" s="10" t="s">
        <v>38</v>
      </c>
      <c r="B10" s="11">
        <v>32</v>
      </c>
    </row>
    <row r="11" spans="1:2" x14ac:dyDescent="0.25">
      <c r="A11" s="10" t="s">
        <v>6</v>
      </c>
      <c r="B11" s="11">
        <v>24</v>
      </c>
    </row>
    <row r="12" spans="1:2" x14ac:dyDescent="0.25">
      <c r="A12" s="10" t="s">
        <v>37</v>
      </c>
      <c r="B12" s="11">
        <v>20</v>
      </c>
    </row>
    <row r="13" spans="1:2" x14ac:dyDescent="0.25">
      <c r="A13" s="10" t="s">
        <v>32</v>
      </c>
      <c r="B13" s="11">
        <v>20</v>
      </c>
    </row>
    <row r="14" spans="1:2" x14ac:dyDescent="0.25">
      <c r="A14" s="10" t="s">
        <v>122</v>
      </c>
      <c r="B14" s="11">
        <v>388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14"/>
  <sheetViews>
    <sheetView workbookViewId="0">
      <selection activeCell="J28" sqref="J28"/>
    </sheetView>
  </sheetViews>
  <sheetFormatPr defaultRowHeight="15" x14ac:dyDescent="0.25"/>
  <cols>
    <col min="1" max="1" width="74" bestFit="1" customWidth="1"/>
    <col min="2" max="2" width="15.42578125" bestFit="1" customWidth="1"/>
  </cols>
  <sheetData>
    <row r="3" spans="1:2" x14ac:dyDescent="0.25">
      <c r="A3" s="9" t="s">
        <v>118</v>
      </c>
      <c r="B3" t="s">
        <v>152</v>
      </c>
    </row>
    <row r="4" spans="1:2" x14ac:dyDescent="0.25">
      <c r="A4" s="10" t="s">
        <v>110</v>
      </c>
      <c r="B4" s="1">
        <v>0.64014466546112114</v>
      </c>
    </row>
    <row r="5" spans="1:2" x14ac:dyDescent="0.25">
      <c r="A5" s="10" t="s">
        <v>52</v>
      </c>
      <c r="B5" s="1">
        <v>0.60515873015873012</v>
      </c>
    </row>
    <row r="6" spans="1:2" x14ac:dyDescent="0.25">
      <c r="A6" s="10" t="s">
        <v>64</v>
      </c>
      <c r="B6" s="1">
        <v>0.55000000000000004</v>
      </c>
    </row>
    <row r="7" spans="1:2" x14ac:dyDescent="0.25">
      <c r="A7" s="10" t="s">
        <v>12</v>
      </c>
      <c r="B7" s="1">
        <v>0.54500000000000004</v>
      </c>
    </row>
    <row r="8" spans="1:2" x14ac:dyDescent="0.25">
      <c r="A8" s="10" t="s">
        <v>28</v>
      </c>
      <c r="B8" s="1">
        <v>0.54488888888888887</v>
      </c>
    </row>
    <row r="9" spans="1:2" x14ac:dyDescent="0.25">
      <c r="A9" s="10" t="s">
        <v>63</v>
      </c>
      <c r="B9" s="1">
        <v>0.53549695740365111</v>
      </c>
    </row>
    <row r="10" spans="1:2" x14ac:dyDescent="0.25">
      <c r="A10" s="10" t="s">
        <v>40</v>
      </c>
      <c r="B10" s="1">
        <v>0.52500000000000002</v>
      </c>
    </row>
    <row r="11" spans="1:2" x14ac:dyDescent="0.25">
      <c r="A11" s="10" t="s">
        <v>24</v>
      </c>
      <c r="B11" s="1">
        <v>0.52500000000000002</v>
      </c>
    </row>
    <row r="12" spans="1:2" x14ac:dyDescent="0.25">
      <c r="A12" s="10" t="s">
        <v>66</v>
      </c>
      <c r="B12" s="1">
        <v>0.5220588235294118</v>
      </c>
    </row>
    <row r="13" spans="1:2" x14ac:dyDescent="0.25">
      <c r="A13" s="10" t="s">
        <v>34</v>
      </c>
      <c r="B13" s="1">
        <v>0.51570680628272247</v>
      </c>
    </row>
    <row r="14" spans="1:2" x14ac:dyDescent="0.25">
      <c r="A14" s="10" t="s">
        <v>122</v>
      </c>
      <c r="B14" s="11">
        <v>0.64014466546112114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8"/>
  <sheetViews>
    <sheetView workbookViewId="0">
      <selection activeCell="B4" sqref="B4"/>
    </sheetView>
  </sheetViews>
  <sheetFormatPr defaultRowHeight="15" x14ac:dyDescent="0.25"/>
  <cols>
    <col min="1" max="1" width="15.28515625" bestFit="1" customWidth="1"/>
    <col min="2" max="2" width="23.28515625" bestFit="1" customWidth="1"/>
    <col min="3" max="3" width="14.28515625" bestFit="1" customWidth="1"/>
  </cols>
  <sheetData>
    <row r="3" spans="1:2" x14ac:dyDescent="0.25">
      <c r="A3" s="9" t="s">
        <v>118</v>
      </c>
      <c r="B3" t="s">
        <v>125</v>
      </c>
    </row>
    <row r="4" spans="1:2" x14ac:dyDescent="0.25">
      <c r="A4" s="10" t="s">
        <v>140</v>
      </c>
      <c r="B4" s="11">
        <v>22</v>
      </c>
    </row>
    <row r="5" spans="1:2" x14ac:dyDescent="0.25">
      <c r="A5" s="10" t="s">
        <v>141</v>
      </c>
      <c r="B5" s="11">
        <v>23</v>
      </c>
    </row>
    <row r="6" spans="1:2" x14ac:dyDescent="0.25">
      <c r="A6" s="10" t="s">
        <v>142</v>
      </c>
      <c r="B6" s="11">
        <v>52</v>
      </c>
    </row>
    <row r="7" spans="1:2" x14ac:dyDescent="0.25">
      <c r="A7" s="10" t="s">
        <v>143</v>
      </c>
      <c r="B7" s="11">
        <v>12</v>
      </c>
    </row>
    <row r="8" spans="1:2" x14ac:dyDescent="0.25">
      <c r="A8" s="10" t="s">
        <v>122</v>
      </c>
      <c r="B8" s="11">
        <v>109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7"/>
  <sheetViews>
    <sheetView workbookViewId="0">
      <selection activeCell="J30" sqref="J30"/>
    </sheetView>
  </sheetViews>
  <sheetFormatPr defaultRowHeight="15" x14ac:dyDescent="0.25"/>
  <cols>
    <col min="1" max="1" width="16.7109375" bestFit="1" customWidth="1"/>
    <col min="2" max="2" width="16" bestFit="1" customWidth="1"/>
    <col min="3" max="3" width="14.28515625" bestFit="1" customWidth="1"/>
    <col min="4" max="4" width="13.28515625" bestFit="1" customWidth="1"/>
  </cols>
  <sheetData>
    <row r="3" spans="1:4" x14ac:dyDescent="0.25">
      <c r="A3" s="9" t="s">
        <v>118</v>
      </c>
      <c r="B3" t="s">
        <v>144</v>
      </c>
      <c r="C3" t="s">
        <v>126</v>
      </c>
      <c r="D3" t="s">
        <v>149</v>
      </c>
    </row>
    <row r="4" spans="1:4" x14ac:dyDescent="0.25">
      <c r="A4" s="10" t="s">
        <v>119</v>
      </c>
      <c r="B4" s="11">
        <v>59</v>
      </c>
      <c r="C4" s="11">
        <v>334</v>
      </c>
      <c r="D4" s="11">
        <v>108.39999999999999</v>
      </c>
    </row>
    <row r="5" spans="1:4" x14ac:dyDescent="0.25">
      <c r="A5" s="10" t="s">
        <v>120</v>
      </c>
      <c r="B5" s="11">
        <v>18</v>
      </c>
      <c r="C5" s="11">
        <v>38</v>
      </c>
      <c r="D5" s="11">
        <v>14.899999999999999</v>
      </c>
    </row>
    <row r="6" spans="1:4" x14ac:dyDescent="0.25">
      <c r="A6" s="10" t="s">
        <v>121</v>
      </c>
      <c r="B6" s="11">
        <v>32</v>
      </c>
      <c r="C6" s="11">
        <v>351</v>
      </c>
      <c r="D6" s="11">
        <v>98.4</v>
      </c>
    </row>
    <row r="7" spans="1:4" x14ac:dyDescent="0.25">
      <c r="A7" s="10" t="s">
        <v>122</v>
      </c>
      <c r="B7" s="11">
        <v>109</v>
      </c>
      <c r="C7" s="11">
        <v>723</v>
      </c>
      <c r="D7" s="11">
        <v>221.69999999999993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7"/>
  <sheetViews>
    <sheetView workbookViewId="0">
      <selection activeCell="G22" sqref="G22"/>
    </sheetView>
  </sheetViews>
  <sheetFormatPr defaultRowHeight="15" x14ac:dyDescent="0.25"/>
  <cols>
    <col min="1" max="1" width="22.140625" bestFit="1" customWidth="1"/>
    <col min="2" max="2" width="16" bestFit="1" customWidth="1"/>
  </cols>
  <sheetData>
    <row r="3" spans="1:2" x14ac:dyDescent="0.25">
      <c r="A3" s="9" t="s">
        <v>118</v>
      </c>
      <c r="B3" t="s">
        <v>144</v>
      </c>
    </row>
    <row r="4" spans="1:2" x14ac:dyDescent="0.25">
      <c r="A4" s="10" t="s">
        <v>154</v>
      </c>
      <c r="B4" s="11">
        <v>8</v>
      </c>
    </row>
    <row r="5" spans="1:2" x14ac:dyDescent="0.25">
      <c r="A5" s="10" t="s">
        <v>155</v>
      </c>
      <c r="B5" s="11">
        <v>42</v>
      </c>
    </row>
    <row r="6" spans="1:2" x14ac:dyDescent="0.25">
      <c r="A6" s="10" t="s">
        <v>156</v>
      </c>
      <c r="B6" s="11">
        <v>59</v>
      </c>
    </row>
    <row r="7" spans="1:2" x14ac:dyDescent="0.25">
      <c r="A7" s="10" t="s">
        <v>122</v>
      </c>
      <c r="B7" s="11">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13"/>
  <sheetViews>
    <sheetView workbookViewId="0">
      <pane ySplit="1" topLeftCell="A21" activePane="bottomLeft" state="frozen"/>
      <selection pane="bottomLeft" activeCell="F34" sqref="F34"/>
    </sheetView>
  </sheetViews>
  <sheetFormatPr defaultRowHeight="15" x14ac:dyDescent="0.25"/>
  <cols>
    <col min="1" max="1" width="95.7109375" bestFit="1" customWidth="1"/>
    <col min="2" max="3" width="19.42578125" bestFit="1" customWidth="1"/>
    <col min="4" max="4" width="19.42578125" style="5" customWidth="1"/>
    <col min="5" max="5" width="9.7109375" bestFit="1" customWidth="1"/>
    <col min="6" max="6" width="12.7109375" style="3" bestFit="1" customWidth="1"/>
    <col min="7" max="7" width="28" bestFit="1" customWidth="1"/>
    <col min="8" max="8" width="19.5703125" bestFit="1" customWidth="1"/>
    <col min="9" max="9" width="22.42578125" bestFit="1" customWidth="1"/>
    <col min="10" max="10" width="23.7109375" bestFit="1" customWidth="1"/>
    <col min="13" max="13" width="4.28515625" bestFit="1" customWidth="1"/>
    <col min="14" max="14" width="5.5703125" bestFit="1" customWidth="1"/>
  </cols>
  <sheetData>
    <row r="1" spans="1:11" ht="18.75" x14ac:dyDescent="0.3">
      <c r="A1" s="6" t="s">
        <v>0</v>
      </c>
      <c r="B1" s="6" t="s">
        <v>1</v>
      </c>
      <c r="C1" s="6" t="s">
        <v>145</v>
      </c>
      <c r="D1" s="7" t="s">
        <v>2</v>
      </c>
      <c r="E1" s="6" t="s">
        <v>3</v>
      </c>
      <c r="F1" s="8" t="s">
        <v>113</v>
      </c>
      <c r="G1" s="6" t="s">
        <v>115</v>
      </c>
      <c r="H1" s="6" t="s">
        <v>116</v>
      </c>
      <c r="I1" s="6" t="s">
        <v>117</v>
      </c>
      <c r="J1" s="6" t="s">
        <v>153</v>
      </c>
    </row>
    <row r="2" spans="1:11" x14ac:dyDescent="0.25">
      <c r="A2" t="s">
        <v>70</v>
      </c>
      <c r="B2" s="4">
        <v>3750</v>
      </c>
      <c r="C2" s="4">
        <v>6143</v>
      </c>
      <c r="D2" s="5">
        <v>0.38954908025394758</v>
      </c>
      <c r="E2">
        <v>5</v>
      </c>
      <c r="F2" s="3">
        <v>3</v>
      </c>
      <c r="G2" s="4">
        <f>C2-B2</f>
        <v>2393</v>
      </c>
      <c r="H2" t="str">
        <f>IF(F2="Not Provided","N/A",IF(F2&lt;3,"Poor Rating",IF(F2&lt;=4.4,"Average Rating",IF(F2&gt;=4.5,"Excellent Rating"))))</f>
        <v>Average Rating</v>
      </c>
      <c r="I2" t="str">
        <f>IF(D2&lt;20%,"Low Discount",IF(D2&lt;=40%,"Medium Discount","High Discount"))</f>
        <v>Medium Discount</v>
      </c>
      <c r="J2" t="str">
        <f>IF(B2&lt;800,"Low Priced Product",
IF(B2&lt;2500,"Medium Priced Product",
IF(B2&gt;=2500,"High Value Product")))</f>
        <v>High Value Product</v>
      </c>
      <c r="K2" s="2"/>
    </row>
    <row r="3" spans="1:11" x14ac:dyDescent="0.25">
      <c r="A3" t="s">
        <v>102</v>
      </c>
      <c r="B3" s="4">
        <v>3640</v>
      </c>
      <c r="C3" s="4">
        <v>4588</v>
      </c>
      <c r="D3" s="5">
        <v>0.20662598081952921</v>
      </c>
      <c r="E3">
        <v>1</v>
      </c>
      <c r="F3" s="3">
        <v>5</v>
      </c>
      <c r="G3" s="4">
        <f t="shared" ref="G3:G66" si="0">C3-B3</f>
        <v>948</v>
      </c>
      <c r="H3" t="str">
        <f t="shared" ref="H3:H66" si="1">IF(F3="Not Provided","N/A",IF(F3&lt;3,"Poor Rating",IF(F3&lt;=4.4,"Average Rating",IF(F3&gt;=4.5,"Excellent Rating"))))</f>
        <v>Excellent Rating</v>
      </c>
      <c r="I3" t="str">
        <f t="shared" ref="I3:I66" si="2">IF(D3&lt;20%,"Low Discount",IF(D3&lt;=40%,"Medium Discount","High Discount"))</f>
        <v>Medium Discount</v>
      </c>
      <c r="J3" t="str">
        <f t="shared" ref="J3:J66" si="3">IF(B3&lt;800,"Low Priced Product",
IF(B3&lt;2500,"Medium Priced Product",
IF(B3&gt;=2500,"High Value Product")))</f>
        <v>High Value Product</v>
      </c>
    </row>
    <row r="4" spans="1:11" x14ac:dyDescent="0.25">
      <c r="A4" t="s">
        <v>99</v>
      </c>
      <c r="B4" s="4">
        <v>3546</v>
      </c>
      <c r="C4" s="4">
        <v>3699</v>
      </c>
      <c r="D4" s="5">
        <v>4.1362530413625302E-2</v>
      </c>
      <c r="E4">
        <v>0</v>
      </c>
      <c r="F4" s="3" t="s">
        <v>114</v>
      </c>
      <c r="G4" s="4">
        <f t="shared" si="0"/>
        <v>153</v>
      </c>
      <c r="H4" t="str">
        <f t="shared" si="1"/>
        <v>N/A</v>
      </c>
      <c r="I4" t="str">
        <f t="shared" si="2"/>
        <v>Low Discount</v>
      </c>
      <c r="J4" t="str">
        <f t="shared" si="3"/>
        <v>High Value Product</v>
      </c>
      <c r="K4" s="2"/>
    </row>
    <row r="5" spans="1:11" x14ac:dyDescent="0.25">
      <c r="A5" t="s">
        <v>22</v>
      </c>
      <c r="B5" s="4">
        <v>2999</v>
      </c>
      <c r="C5" s="4">
        <v>3699</v>
      </c>
      <c r="D5" s="5">
        <v>0.18924033522573669</v>
      </c>
      <c r="E5">
        <v>5</v>
      </c>
      <c r="F5" s="3">
        <v>4.5999999999999996</v>
      </c>
      <c r="G5" s="4">
        <f t="shared" si="0"/>
        <v>700</v>
      </c>
      <c r="H5" t="str">
        <f t="shared" si="1"/>
        <v>Excellent Rating</v>
      </c>
      <c r="I5" t="str">
        <f t="shared" si="2"/>
        <v>Low Discount</v>
      </c>
      <c r="J5" t="str">
        <f t="shared" si="3"/>
        <v>High Value Product</v>
      </c>
      <c r="K5" s="2"/>
    </row>
    <row r="6" spans="1:11" x14ac:dyDescent="0.25">
      <c r="A6" t="s">
        <v>9</v>
      </c>
      <c r="B6" s="4">
        <v>2999</v>
      </c>
      <c r="C6" s="4">
        <v>3290</v>
      </c>
      <c r="D6" s="5">
        <v>8.8449848024316116E-2</v>
      </c>
      <c r="E6">
        <v>15</v>
      </c>
      <c r="F6" s="3">
        <v>4</v>
      </c>
      <c r="G6" s="4">
        <f t="shared" si="0"/>
        <v>291</v>
      </c>
      <c r="H6" t="str">
        <f t="shared" si="1"/>
        <v>Average Rating</v>
      </c>
      <c r="I6" t="str">
        <f t="shared" si="2"/>
        <v>Low Discount</v>
      </c>
      <c r="J6" t="str">
        <f t="shared" si="3"/>
        <v>High Value Product</v>
      </c>
      <c r="K6" s="2"/>
    </row>
    <row r="7" spans="1:11" x14ac:dyDescent="0.25">
      <c r="A7" t="s">
        <v>30</v>
      </c>
      <c r="B7" s="4">
        <v>2880</v>
      </c>
      <c r="C7" s="4">
        <v>3520</v>
      </c>
      <c r="D7" s="5">
        <v>0.18181818181818182</v>
      </c>
      <c r="E7">
        <v>12</v>
      </c>
      <c r="F7" s="3">
        <v>3.8</v>
      </c>
      <c r="G7" s="4">
        <f t="shared" si="0"/>
        <v>640</v>
      </c>
      <c r="H7" t="str">
        <f t="shared" si="1"/>
        <v>Average Rating</v>
      </c>
      <c r="I7" t="str">
        <f t="shared" si="2"/>
        <v>Low Discount</v>
      </c>
      <c r="J7" t="str">
        <f t="shared" si="3"/>
        <v>High Value Product</v>
      </c>
      <c r="K7" s="2"/>
    </row>
    <row r="8" spans="1:11" x14ac:dyDescent="0.25">
      <c r="A8" t="s">
        <v>61</v>
      </c>
      <c r="B8" s="4">
        <v>2799</v>
      </c>
      <c r="C8" s="4">
        <v>3810</v>
      </c>
      <c r="D8" s="5">
        <v>0.26535433070866143</v>
      </c>
      <c r="E8">
        <v>0</v>
      </c>
      <c r="F8" s="3" t="s">
        <v>114</v>
      </c>
      <c r="G8" s="4">
        <f t="shared" si="0"/>
        <v>1011</v>
      </c>
      <c r="H8" t="str">
        <f t="shared" si="1"/>
        <v>N/A</v>
      </c>
      <c r="I8" t="str">
        <f t="shared" si="2"/>
        <v>Medium Discount</v>
      </c>
      <c r="J8" t="str">
        <f t="shared" si="3"/>
        <v>High Value Product</v>
      </c>
      <c r="K8" s="2"/>
    </row>
    <row r="9" spans="1:11" x14ac:dyDescent="0.25">
      <c r="A9" t="s">
        <v>43</v>
      </c>
      <c r="B9" s="4">
        <v>2750</v>
      </c>
      <c r="C9" s="4">
        <v>4471</v>
      </c>
      <c r="D9" s="5">
        <v>0.38492507269067322</v>
      </c>
      <c r="E9">
        <v>0</v>
      </c>
      <c r="F9" s="3" t="s">
        <v>114</v>
      </c>
      <c r="G9" s="4">
        <f t="shared" si="0"/>
        <v>1721</v>
      </c>
      <c r="H9" t="str">
        <f t="shared" si="1"/>
        <v>N/A</v>
      </c>
      <c r="I9" t="str">
        <f t="shared" si="2"/>
        <v>Medium Discount</v>
      </c>
      <c r="J9" t="str">
        <f t="shared" si="3"/>
        <v>High Value Product</v>
      </c>
      <c r="K9" s="2"/>
    </row>
    <row r="10" spans="1:11" x14ac:dyDescent="0.25">
      <c r="A10" t="s">
        <v>10</v>
      </c>
      <c r="B10" s="4">
        <v>2319</v>
      </c>
      <c r="C10" s="4">
        <v>3032</v>
      </c>
      <c r="D10" s="5">
        <v>0.23515831134564644</v>
      </c>
      <c r="E10">
        <v>55</v>
      </c>
      <c r="F10" s="3">
        <v>4.5999999999999996</v>
      </c>
      <c r="G10" s="4">
        <f t="shared" si="0"/>
        <v>713</v>
      </c>
      <c r="H10" t="str">
        <f t="shared" si="1"/>
        <v>Excellent Rating</v>
      </c>
      <c r="I10" t="str">
        <f t="shared" si="2"/>
        <v>Medium Discount</v>
      </c>
      <c r="J10" t="str">
        <f t="shared" si="3"/>
        <v>Medium Priced Product</v>
      </c>
      <c r="K10" s="2"/>
    </row>
    <row r="11" spans="1:11" x14ac:dyDescent="0.25">
      <c r="A11" t="s">
        <v>72</v>
      </c>
      <c r="B11" s="4">
        <v>2300</v>
      </c>
      <c r="C11" s="4">
        <v>3240</v>
      </c>
      <c r="D11" s="5">
        <v>0.29012345679012347</v>
      </c>
      <c r="E11">
        <v>5</v>
      </c>
      <c r="F11" s="3">
        <v>3</v>
      </c>
      <c r="G11" s="4">
        <f t="shared" si="0"/>
        <v>940</v>
      </c>
      <c r="H11" t="str">
        <f t="shared" si="1"/>
        <v>Average Rating</v>
      </c>
      <c r="I11" t="str">
        <f t="shared" si="2"/>
        <v>Medium Discount</v>
      </c>
      <c r="J11" t="str">
        <f t="shared" si="3"/>
        <v>Medium Priced Product</v>
      </c>
      <c r="K11" s="2"/>
    </row>
    <row r="12" spans="1:11" x14ac:dyDescent="0.25">
      <c r="A12" t="s">
        <v>33</v>
      </c>
      <c r="B12" s="4">
        <v>2200</v>
      </c>
      <c r="C12" s="4">
        <v>4080</v>
      </c>
      <c r="D12" s="5">
        <v>0.46078431372549017</v>
      </c>
      <c r="E12">
        <v>0</v>
      </c>
      <c r="F12" s="3" t="s">
        <v>114</v>
      </c>
      <c r="G12" s="4">
        <f t="shared" si="0"/>
        <v>1880</v>
      </c>
      <c r="H12" t="str">
        <f t="shared" si="1"/>
        <v>N/A</v>
      </c>
      <c r="I12" t="str">
        <f t="shared" si="2"/>
        <v>High Discount</v>
      </c>
      <c r="J12" t="str">
        <f t="shared" si="3"/>
        <v>Medium Priced Product</v>
      </c>
    </row>
    <row r="13" spans="1:11" x14ac:dyDescent="0.25">
      <c r="A13" t="s">
        <v>6</v>
      </c>
      <c r="B13" s="4">
        <v>2199</v>
      </c>
      <c r="C13" s="4">
        <v>2923</v>
      </c>
      <c r="D13" s="5">
        <v>0.24769072870338693</v>
      </c>
      <c r="E13">
        <v>24</v>
      </c>
      <c r="F13" s="3">
        <v>4.5999999999999996</v>
      </c>
      <c r="G13" s="4">
        <f t="shared" si="0"/>
        <v>724</v>
      </c>
      <c r="H13" t="str">
        <f t="shared" si="1"/>
        <v>Excellent Rating</v>
      </c>
      <c r="I13" t="str">
        <f t="shared" si="2"/>
        <v>Medium Discount</v>
      </c>
      <c r="J13" t="str">
        <f t="shared" si="3"/>
        <v>Medium Priced Product</v>
      </c>
      <c r="K13" s="2"/>
    </row>
    <row r="14" spans="1:11" x14ac:dyDescent="0.25">
      <c r="A14" t="s">
        <v>62</v>
      </c>
      <c r="B14" s="4">
        <v>2170</v>
      </c>
      <c r="C14" s="4">
        <v>2500</v>
      </c>
      <c r="D14" s="5">
        <v>0.13200000000000001</v>
      </c>
      <c r="E14">
        <v>6</v>
      </c>
      <c r="F14" s="3">
        <v>2.5</v>
      </c>
      <c r="G14" s="4">
        <f t="shared" si="0"/>
        <v>330</v>
      </c>
      <c r="H14" t="str">
        <f t="shared" si="1"/>
        <v>Poor Rating</v>
      </c>
      <c r="I14" t="str">
        <f t="shared" si="2"/>
        <v>Low Discount</v>
      </c>
      <c r="J14" t="str">
        <f t="shared" si="3"/>
        <v>Medium Priced Product</v>
      </c>
      <c r="K14" s="2"/>
    </row>
    <row r="15" spans="1:11" x14ac:dyDescent="0.25">
      <c r="A15" t="s">
        <v>47</v>
      </c>
      <c r="B15" s="4">
        <v>2132</v>
      </c>
      <c r="C15" s="4">
        <v>2169</v>
      </c>
      <c r="D15" s="5">
        <v>1.705855232826187E-2</v>
      </c>
      <c r="E15">
        <v>0</v>
      </c>
      <c r="F15" s="3" t="s">
        <v>114</v>
      </c>
      <c r="G15" s="4">
        <f t="shared" si="0"/>
        <v>37</v>
      </c>
      <c r="H15" t="str">
        <f t="shared" si="1"/>
        <v>N/A</v>
      </c>
      <c r="I15" t="str">
        <f t="shared" si="2"/>
        <v>Low Discount</v>
      </c>
      <c r="J15" t="str">
        <f t="shared" si="3"/>
        <v>Medium Priced Product</v>
      </c>
    </row>
    <row r="16" spans="1:11" x14ac:dyDescent="0.25">
      <c r="A16" t="s">
        <v>64</v>
      </c>
      <c r="B16" s="4">
        <v>2115</v>
      </c>
      <c r="C16" s="4">
        <v>4700</v>
      </c>
      <c r="D16" s="5">
        <v>0.55000000000000004</v>
      </c>
      <c r="E16">
        <v>13</v>
      </c>
      <c r="F16" s="3">
        <v>2.1</v>
      </c>
      <c r="G16" s="4">
        <f t="shared" si="0"/>
        <v>2585</v>
      </c>
      <c r="H16" t="str">
        <f t="shared" si="1"/>
        <v>Poor Rating</v>
      </c>
      <c r="I16" t="str">
        <f t="shared" si="2"/>
        <v>High Discount</v>
      </c>
      <c r="J16" t="str">
        <f t="shared" si="3"/>
        <v>Medium Priced Product</v>
      </c>
      <c r="K16" s="2"/>
    </row>
    <row r="17" spans="1:11" x14ac:dyDescent="0.25">
      <c r="A17" t="s">
        <v>28</v>
      </c>
      <c r="B17" s="4">
        <v>2048</v>
      </c>
      <c r="C17" s="4">
        <v>4500</v>
      </c>
      <c r="D17" s="5">
        <v>0.54488888888888887</v>
      </c>
      <c r="E17">
        <v>7</v>
      </c>
      <c r="F17" s="3">
        <v>4.3</v>
      </c>
      <c r="G17" s="4">
        <f t="shared" si="0"/>
        <v>2452</v>
      </c>
      <c r="H17" t="str">
        <f t="shared" si="1"/>
        <v>Average Rating</v>
      </c>
      <c r="I17" t="str">
        <f t="shared" si="2"/>
        <v>High Discount</v>
      </c>
      <c r="J17" t="str">
        <f t="shared" si="3"/>
        <v>Medium Priced Product</v>
      </c>
    </row>
    <row r="18" spans="1:11" x14ac:dyDescent="0.25">
      <c r="A18" t="s">
        <v>21</v>
      </c>
      <c r="B18" s="4">
        <v>2025</v>
      </c>
      <c r="C18" s="4">
        <v>3971</v>
      </c>
      <c r="D18" s="5">
        <v>0.49005288340468395</v>
      </c>
      <c r="E18">
        <v>3</v>
      </c>
      <c r="F18" s="3">
        <v>5</v>
      </c>
      <c r="G18" s="4">
        <f t="shared" si="0"/>
        <v>1946</v>
      </c>
      <c r="H18" t="str">
        <f t="shared" si="1"/>
        <v>Excellent Rating</v>
      </c>
      <c r="I18" t="str">
        <f t="shared" si="2"/>
        <v>High Discount</v>
      </c>
      <c r="J18" t="str">
        <f t="shared" si="3"/>
        <v>Medium Priced Product</v>
      </c>
    </row>
    <row r="19" spans="1:11" x14ac:dyDescent="0.25">
      <c r="A19" t="s">
        <v>38</v>
      </c>
      <c r="B19" s="4">
        <v>1980</v>
      </c>
      <c r="C19" s="4">
        <v>2699</v>
      </c>
      <c r="D19" s="5">
        <v>0.26639496109670247</v>
      </c>
      <c r="E19">
        <v>32</v>
      </c>
      <c r="F19" s="3">
        <v>4.5</v>
      </c>
      <c r="G19" s="4">
        <f t="shared" si="0"/>
        <v>719</v>
      </c>
      <c r="H19" t="str">
        <f t="shared" si="1"/>
        <v>Excellent Rating</v>
      </c>
      <c r="I19" t="str">
        <f t="shared" si="2"/>
        <v>Medium Discount</v>
      </c>
      <c r="J19" t="str">
        <f t="shared" si="3"/>
        <v>Medium Priced Product</v>
      </c>
      <c r="K19" s="2"/>
    </row>
    <row r="20" spans="1:11" x14ac:dyDescent="0.25">
      <c r="A20" t="s">
        <v>37</v>
      </c>
      <c r="B20" s="4">
        <v>1940</v>
      </c>
      <c r="C20" s="4">
        <v>2650</v>
      </c>
      <c r="D20" s="5">
        <v>0.26792452830188679</v>
      </c>
      <c r="E20">
        <v>20</v>
      </c>
      <c r="F20" s="3">
        <v>4.7</v>
      </c>
      <c r="G20" s="4">
        <f t="shared" si="0"/>
        <v>710</v>
      </c>
      <c r="H20" t="str">
        <f t="shared" si="1"/>
        <v>Excellent Rating</v>
      </c>
      <c r="I20" t="str">
        <f t="shared" si="2"/>
        <v>Medium Discount</v>
      </c>
      <c r="J20" t="str">
        <f t="shared" si="3"/>
        <v>Medium Priced Product</v>
      </c>
      <c r="K20" s="2"/>
    </row>
    <row r="21" spans="1:11" x14ac:dyDescent="0.25">
      <c r="A21" t="s">
        <v>104</v>
      </c>
      <c r="B21" s="4">
        <v>1875</v>
      </c>
      <c r="C21" s="4">
        <v>1899</v>
      </c>
      <c r="D21" s="5">
        <v>1.2638230647709321E-2</v>
      </c>
      <c r="E21">
        <v>0</v>
      </c>
      <c r="F21" s="3" t="s">
        <v>114</v>
      </c>
      <c r="G21" s="4">
        <f t="shared" si="0"/>
        <v>24</v>
      </c>
      <c r="H21" t="str">
        <f t="shared" si="1"/>
        <v>N/A</v>
      </c>
      <c r="I21" t="str">
        <f t="shared" si="2"/>
        <v>Low Discount</v>
      </c>
      <c r="J21" t="str">
        <f t="shared" si="3"/>
        <v>Medium Priced Product</v>
      </c>
      <c r="K21" s="2"/>
    </row>
    <row r="22" spans="1:11" x14ac:dyDescent="0.25">
      <c r="A22" t="s">
        <v>25</v>
      </c>
      <c r="B22" s="4">
        <v>1860</v>
      </c>
      <c r="C22" s="4">
        <v>3220</v>
      </c>
      <c r="D22" s="5">
        <v>0.42236024844720499</v>
      </c>
      <c r="E22">
        <v>0</v>
      </c>
      <c r="F22" s="3" t="s">
        <v>114</v>
      </c>
      <c r="G22" s="4">
        <f t="shared" si="0"/>
        <v>1360</v>
      </c>
      <c r="H22" t="str">
        <f t="shared" si="1"/>
        <v>N/A</v>
      </c>
      <c r="I22" t="str">
        <f t="shared" si="2"/>
        <v>High Discount</v>
      </c>
      <c r="J22" t="str">
        <f t="shared" si="3"/>
        <v>Medium Priced Product</v>
      </c>
    </row>
    <row r="23" spans="1:11" x14ac:dyDescent="0.25">
      <c r="A23" t="s">
        <v>36</v>
      </c>
      <c r="B23" s="4">
        <v>1820</v>
      </c>
      <c r="C23" s="4">
        <v>3490</v>
      </c>
      <c r="D23" s="5">
        <v>0.47851002865329512</v>
      </c>
      <c r="E23">
        <v>9</v>
      </c>
      <c r="F23" s="3">
        <v>4.3</v>
      </c>
      <c r="G23" s="4">
        <f t="shared" si="0"/>
        <v>1670</v>
      </c>
      <c r="H23" t="str">
        <f t="shared" si="1"/>
        <v>Average Rating</v>
      </c>
      <c r="I23" t="str">
        <f t="shared" si="2"/>
        <v>High Discount</v>
      </c>
      <c r="J23" t="str">
        <f t="shared" si="3"/>
        <v>Medium Priced Product</v>
      </c>
      <c r="K23" s="2"/>
    </row>
    <row r="24" spans="1:11" x14ac:dyDescent="0.25">
      <c r="A24" t="s">
        <v>42</v>
      </c>
      <c r="B24" s="4">
        <v>1800</v>
      </c>
      <c r="C24" s="4">
        <v>2700</v>
      </c>
      <c r="D24" s="5">
        <v>0.33333333333333331</v>
      </c>
      <c r="E24">
        <v>2</v>
      </c>
      <c r="F24" s="3">
        <v>4.5</v>
      </c>
      <c r="G24" s="4">
        <f t="shared" si="0"/>
        <v>900</v>
      </c>
      <c r="H24" t="str">
        <f t="shared" si="1"/>
        <v>Excellent Rating</v>
      </c>
      <c r="I24" t="str">
        <f t="shared" si="2"/>
        <v>Medium Discount</v>
      </c>
      <c r="J24" t="str">
        <f t="shared" si="3"/>
        <v>Medium Priced Product</v>
      </c>
      <c r="K24" s="2"/>
    </row>
    <row r="25" spans="1:11" x14ac:dyDescent="0.25">
      <c r="A25" t="s">
        <v>109</v>
      </c>
      <c r="B25" s="4">
        <v>1768</v>
      </c>
      <c r="C25" s="4">
        <v>1799</v>
      </c>
      <c r="D25" s="5">
        <v>1.7231795441912175E-2</v>
      </c>
      <c r="E25">
        <v>0</v>
      </c>
      <c r="F25" s="3" t="s">
        <v>114</v>
      </c>
      <c r="G25" s="4">
        <f t="shared" si="0"/>
        <v>31</v>
      </c>
      <c r="H25" t="str">
        <f t="shared" si="1"/>
        <v>N/A</v>
      </c>
      <c r="I25" t="str">
        <f t="shared" si="2"/>
        <v>Low Discount</v>
      </c>
      <c r="J25" t="str">
        <f t="shared" si="3"/>
        <v>Medium Priced Product</v>
      </c>
      <c r="K25" s="2"/>
    </row>
    <row r="26" spans="1:11" x14ac:dyDescent="0.25">
      <c r="A26" t="s">
        <v>32</v>
      </c>
      <c r="B26" s="4">
        <v>1758</v>
      </c>
      <c r="C26" s="4">
        <v>2499</v>
      </c>
      <c r="D26" s="5">
        <v>0.2965186074429772</v>
      </c>
      <c r="E26">
        <v>20</v>
      </c>
      <c r="F26" s="3">
        <v>4.0999999999999996</v>
      </c>
      <c r="G26" s="4">
        <f t="shared" si="0"/>
        <v>741</v>
      </c>
      <c r="H26" t="str">
        <f t="shared" si="1"/>
        <v>Average Rating</v>
      </c>
      <c r="I26" t="str">
        <f t="shared" si="2"/>
        <v>Medium Discount</v>
      </c>
      <c r="J26" t="str">
        <f t="shared" si="3"/>
        <v>Medium Priced Product</v>
      </c>
      <c r="K26" s="2"/>
    </row>
    <row r="27" spans="1:11" x14ac:dyDescent="0.25">
      <c r="A27" t="s">
        <v>8</v>
      </c>
      <c r="B27" s="4">
        <v>1740</v>
      </c>
      <c r="C27" s="4">
        <v>2356</v>
      </c>
      <c r="D27" s="5">
        <v>0.26146010186757218</v>
      </c>
      <c r="E27">
        <v>5</v>
      </c>
      <c r="F27" s="3">
        <v>4.8</v>
      </c>
      <c r="G27" s="4">
        <f t="shared" si="0"/>
        <v>616</v>
      </c>
      <c r="H27" t="str">
        <f t="shared" si="1"/>
        <v>Excellent Rating</v>
      </c>
      <c r="I27" t="str">
        <f t="shared" si="2"/>
        <v>Medium Discount</v>
      </c>
      <c r="J27" t="str">
        <f t="shared" si="3"/>
        <v>Medium Priced Product</v>
      </c>
    </row>
    <row r="28" spans="1:11" x14ac:dyDescent="0.25">
      <c r="A28" t="s">
        <v>79</v>
      </c>
      <c r="B28" s="4">
        <v>1732</v>
      </c>
      <c r="C28" s="4">
        <v>1799</v>
      </c>
      <c r="D28" s="5">
        <v>3.7242912729294052E-2</v>
      </c>
      <c r="E28">
        <v>0</v>
      </c>
      <c r="F28" s="3" t="s">
        <v>114</v>
      </c>
      <c r="G28" s="4">
        <f t="shared" si="0"/>
        <v>67</v>
      </c>
      <c r="H28" t="str">
        <f t="shared" si="1"/>
        <v>N/A</v>
      </c>
      <c r="I28" t="str">
        <f t="shared" si="2"/>
        <v>Low Discount</v>
      </c>
      <c r="J28" t="str">
        <f t="shared" si="3"/>
        <v>Medium Priced Product</v>
      </c>
      <c r="K28" s="2"/>
    </row>
    <row r="29" spans="1:11" x14ac:dyDescent="0.25">
      <c r="A29" t="s">
        <v>18</v>
      </c>
      <c r="B29" s="4">
        <v>1680</v>
      </c>
      <c r="C29" s="4">
        <v>2499</v>
      </c>
      <c r="D29" s="5">
        <v>0.32773109243697479</v>
      </c>
      <c r="E29">
        <v>9</v>
      </c>
      <c r="F29" s="3">
        <v>4.2</v>
      </c>
      <c r="G29" s="4">
        <f t="shared" si="0"/>
        <v>819</v>
      </c>
      <c r="H29" t="str">
        <f t="shared" si="1"/>
        <v>Average Rating</v>
      </c>
      <c r="I29" t="str">
        <f t="shared" si="2"/>
        <v>Medium Discount</v>
      </c>
      <c r="J29" t="str">
        <f t="shared" si="3"/>
        <v>Medium Priced Product</v>
      </c>
      <c r="K29" s="2"/>
    </row>
    <row r="30" spans="1:11" x14ac:dyDescent="0.25">
      <c r="A30" t="s">
        <v>84</v>
      </c>
      <c r="B30" s="4">
        <v>1666</v>
      </c>
      <c r="C30" s="4">
        <v>1699</v>
      </c>
      <c r="D30" s="5">
        <v>1.9423190111830489E-2</v>
      </c>
      <c r="E30">
        <v>0</v>
      </c>
      <c r="F30" s="3" t="s">
        <v>114</v>
      </c>
      <c r="G30" s="4">
        <f t="shared" si="0"/>
        <v>33</v>
      </c>
      <c r="H30" t="str">
        <f t="shared" si="1"/>
        <v>N/A</v>
      </c>
      <c r="I30" t="str">
        <f t="shared" si="2"/>
        <v>Low Discount</v>
      </c>
      <c r="J30" t="str">
        <f t="shared" si="3"/>
        <v>Medium Priced Product</v>
      </c>
      <c r="K30" s="2"/>
    </row>
    <row r="31" spans="1:11" x14ac:dyDescent="0.25">
      <c r="A31" t="s">
        <v>54</v>
      </c>
      <c r="B31" s="4">
        <v>1660</v>
      </c>
      <c r="C31" s="4">
        <v>1699</v>
      </c>
      <c r="D31" s="5">
        <v>2.2954679223072396E-2</v>
      </c>
      <c r="E31">
        <v>0</v>
      </c>
      <c r="F31" s="3" t="s">
        <v>114</v>
      </c>
      <c r="G31" s="4">
        <f t="shared" si="0"/>
        <v>39</v>
      </c>
      <c r="H31" t="str">
        <f t="shared" si="1"/>
        <v>N/A</v>
      </c>
      <c r="I31" t="str">
        <f t="shared" si="2"/>
        <v>Low Discount</v>
      </c>
      <c r="J31" t="str">
        <f t="shared" si="3"/>
        <v>Medium Priced Product</v>
      </c>
      <c r="K31" s="2"/>
    </row>
    <row r="32" spans="1:11" x14ac:dyDescent="0.25">
      <c r="A32" t="s">
        <v>108</v>
      </c>
      <c r="B32" s="4">
        <v>1658</v>
      </c>
      <c r="C32" s="4">
        <v>1699</v>
      </c>
      <c r="D32" s="5">
        <v>2.4131842260153032E-2</v>
      </c>
      <c r="E32">
        <v>0</v>
      </c>
      <c r="F32" s="3" t="s">
        <v>114</v>
      </c>
      <c r="G32" s="4">
        <f t="shared" si="0"/>
        <v>41</v>
      </c>
      <c r="H32" t="str">
        <f t="shared" si="1"/>
        <v>N/A</v>
      </c>
      <c r="I32" t="str">
        <f t="shared" si="2"/>
        <v>Low Discount</v>
      </c>
      <c r="J32" t="str">
        <f t="shared" si="3"/>
        <v>Medium Priced Product</v>
      </c>
    </row>
    <row r="33" spans="1:14" x14ac:dyDescent="0.25">
      <c r="A33" t="s">
        <v>27</v>
      </c>
      <c r="B33" s="4">
        <v>1650</v>
      </c>
      <c r="C33" s="4">
        <v>2150</v>
      </c>
      <c r="D33" s="5">
        <v>0.23255813953488372</v>
      </c>
      <c r="E33">
        <v>14</v>
      </c>
      <c r="F33" s="3">
        <v>4.4000000000000004</v>
      </c>
      <c r="G33" s="4">
        <f t="shared" si="0"/>
        <v>500</v>
      </c>
      <c r="H33" t="str">
        <f t="shared" si="1"/>
        <v>Average Rating</v>
      </c>
      <c r="I33" t="str">
        <f t="shared" si="2"/>
        <v>Medium Discount</v>
      </c>
      <c r="J33" t="str">
        <f t="shared" si="3"/>
        <v>Medium Priced Product</v>
      </c>
      <c r="K33" s="2"/>
    </row>
    <row r="34" spans="1:14" x14ac:dyDescent="0.25">
      <c r="A34" t="s">
        <v>39</v>
      </c>
      <c r="B34" s="4">
        <v>1620</v>
      </c>
      <c r="C34" s="4">
        <v>2690</v>
      </c>
      <c r="D34" s="5">
        <v>0.39776951672862454</v>
      </c>
      <c r="E34">
        <v>1</v>
      </c>
      <c r="F34" s="3">
        <v>5</v>
      </c>
      <c r="G34" s="4">
        <f t="shared" si="0"/>
        <v>1070</v>
      </c>
      <c r="H34" t="str">
        <f t="shared" si="1"/>
        <v>Excellent Rating</v>
      </c>
      <c r="I34" t="str">
        <f t="shared" si="2"/>
        <v>Medium Discount</v>
      </c>
      <c r="J34" t="str">
        <f t="shared" si="3"/>
        <v>Medium Priced Product</v>
      </c>
      <c r="K34" s="2"/>
    </row>
    <row r="35" spans="1:14" x14ac:dyDescent="0.25">
      <c r="A35" t="s">
        <v>13</v>
      </c>
      <c r="B35" s="4">
        <v>1600</v>
      </c>
      <c r="C35" s="4">
        <v>2929</v>
      </c>
      <c r="D35" s="5">
        <v>0.45373847729600547</v>
      </c>
      <c r="E35">
        <v>5</v>
      </c>
      <c r="F35" s="3">
        <v>3.8</v>
      </c>
      <c r="G35" s="4">
        <f t="shared" si="0"/>
        <v>1329</v>
      </c>
      <c r="H35" t="str">
        <f t="shared" si="1"/>
        <v>Average Rating</v>
      </c>
      <c r="I35" t="str">
        <f t="shared" si="2"/>
        <v>High Discount</v>
      </c>
      <c r="J35" t="str">
        <f t="shared" si="3"/>
        <v>Medium Priced Product</v>
      </c>
      <c r="K35" s="2"/>
    </row>
    <row r="36" spans="1:14" x14ac:dyDescent="0.25">
      <c r="A36" t="s">
        <v>7</v>
      </c>
      <c r="B36" s="4">
        <v>1580</v>
      </c>
      <c r="C36" s="4">
        <v>2499</v>
      </c>
      <c r="D36" s="5">
        <v>0.36774709883953582</v>
      </c>
      <c r="E36">
        <v>7</v>
      </c>
      <c r="F36" s="3">
        <v>4.7</v>
      </c>
      <c r="G36" s="4">
        <f t="shared" si="0"/>
        <v>919</v>
      </c>
      <c r="H36" t="str">
        <f t="shared" si="1"/>
        <v>Excellent Rating</v>
      </c>
      <c r="I36" t="str">
        <f t="shared" si="2"/>
        <v>Medium Discount</v>
      </c>
      <c r="J36" t="str">
        <f t="shared" si="3"/>
        <v>Medium Priced Product</v>
      </c>
      <c r="K36" s="2"/>
    </row>
    <row r="37" spans="1:14" x14ac:dyDescent="0.25">
      <c r="A37" t="s">
        <v>76</v>
      </c>
      <c r="B37" s="4">
        <v>1570</v>
      </c>
      <c r="C37" s="4">
        <v>2988</v>
      </c>
      <c r="D37" s="5">
        <v>0.4745649263721553</v>
      </c>
      <c r="E37">
        <v>7</v>
      </c>
      <c r="F37" s="3">
        <v>2.1</v>
      </c>
      <c r="G37" s="4">
        <f t="shared" si="0"/>
        <v>1418</v>
      </c>
      <c r="H37" t="str">
        <f t="shared" si="1"/>
        <v>Poor Rating</v>
      </c>
      <c r="I37" t="str">
        <f t="shared" si="2"/>
        <v>High Discount</v>
      </c>
      <c r="J37" t="str">
        <f t="shared" si="3"/>
        <v>Medium Priced Product</v>
      </c>
      <c r="K37" s="2"/>
    </row>
    <row r="38" spans="1:14" x14ac:dyDescent="0.25">
      <c r="A38" t="s">
        <v>96</v>
      </c>
      <c r="B38" s="4">
        <v>1526</v>
      </c>
      <c r="C38" s="4">
        <v>1660</v>
      </c>
      <c r="D38" s="5">
        <v>8.0722891566265054E-2</v>
      </c>
      <c r="E38">
        <v>0</v>
      </c>
      <c r="F38" s="3" t="s">
        <v>114</v>
      </c>
      <c r="G38" s="4">
        <f t="shared" si="0"/>
        <v>134</v>
      </c>
      <c r="H38" t="str">
        <f t="shared" si="1"/>
        <v>N/A</v>
      </c>
      <c r="I38" t="str">
        <f t="shared" si="2"/>
        <v>Low Discount</v>
      </c>
      <c r="J38" t="str">
        <f t="shared" si="3"/>
        <v>Medium Priced Product</v>
      </c>
    </row>
    <row r="39" spans="1:14" x14ac:dyDescent="0.25">
      <c r="A39" t="s">
        <v>89</v>
      </c>
      <c r="B39" s="4">
        <v>1468</v>
      </c>
      <c r="C39" s="4">
        <v>1699</v>
      </c>
      <c r="D39" s="5">
        <v>0.13596233078281342</v>
      </c>
      <c r="E39">
        <v>0</v>
      </c>
      <c r="F39" s="3" t="s">
        <v>114</v>
      </c>
      <c r="G39" s="4">
        <f t="shared" si="0"/>
        <v>231</v>
      </c>
      <c r="H39" t="str">
        <f t="shared" si="1"/>
        <v>N/A</v>
      </c>
      <c r="I39" t="str">
        <f t="shared" si="2"/>
        <v>Low Discount</v>
      </c>
      <c r="J39" t="str">
        <f t="shared" si="3"/>
        <v>Medium Priced Product</v>
      </c>
    </row>
    <row r="40" spans="1:14" x14ac:dyDescent="0.25">
      <c r="A40" t="s">
        <v>86</v>
      </c>
      <c r="B40" s="4">
        <v>1466</v>
      </c>
      <c r="C40" s="4">
        <v>1699</v>
      </c>
      <c r="D40" s="5">
        <v>0.13713949381989404</v>
      </c>
      <c r="E40">
        <v>0</v>
      </c>
      <c r="F40" s="3" t="s">
        <v>114</v>
      </c>
      <c r="G40" s="4">
        <f t="shared" si="0"/>
        <v>233</v>
      </c>
      <c r="H40" t="str">
        <f t="shared" si="1"/>
        <v>N/A</v>
      </c>
      <c r="I40" t="str">
        <f t="shared" si="2"/>
        <v>Low Discount</v>
      </c>
      <c r="J40" t="str">
        <f t="shared" si="3"/>
        <v>Medium Priced Product</v>
      </c>
      <c r="K40" s="2"/>
      <c r="N40" s="2"/>
    </row>
    <row r="41" spans="1:14" x14ac:dyDescent="0.25">
      <c r="A41" t="s">
        <v>97</v>
      </c>
      <c r="B41" s="4">
        <v>1462</v>
      </c>
      <c r="C41" s="4">
        <v>1499</v>
      </c>
      <c r="D41" s="5">
        <v>2.46831220813876E-2</v>
      </c>
      <c r="E41">
        <v>0</v>
      </c>
      <c r="F41" s="3" t="s">
        <v>114</v>
      </c>
      <c r="G41" s="4">
        <f t="shared" si="0"/>
        <v>37</v>
      </c>
      <c r="H41" t="str">
        <f t="shared" si="1"/>
        <v>N/A</v>
      </c>
      <c r="I41" t="str">
        <f t="shared" si="2"/>
        <v>Low Discount</v>
      </c>
      <c r="J41" t="str">
        <f t="shared" si="3"/>
        <v>Medium Priced Product</v>
      </c>
      <c r="K41" s="2"/>
    </row>
    <row r="42" spans="1:14" x14ac:dyDescent="0.25">
      <c r="A42" t="s">
        <v>83</v>
      </c>
      <c r="B42" s="4">
        <v>1460</v>
      </c>
      <c r="C42" s="4">
        <v>2290</v>
      </c>
      <c r="D42" s="5">
        <v>0.36244541484716158</v>
      </c>
      <c r="E42">
        <v>0</v>
      </c>
      <c r="F42" s="3" t="s">
        <v>114</v>
      </c>
      <c r="G42" s="4">
        <f t="shared" si="0"/>
        <v>830</v>
      </c>
      <c r="H42" t="str">
        <f t="shared" si="1"/>
        <v>N/A</v>
      </c>
      <c r="I42" t="str">
        <f t="shared" si="2"/>
        <v>Medium Discount</v>
      </c>
      <c r="J42" t="str">
        <f t="shared" si="3"/>
        <v>Medium Priced Product</v>
      </c>
    </row>
    <row r="43" spans="1:14" x14ac:dyDescent="0.25">
      <c r="A43" t="s">
        <v>56</v>
      </c>
      <c r="B43" s="4">
        <v>1459</v>
      </c>
      <c r="C43" s="4">
        <v>1499</v>
      </c>
      <c r="D43" s="5">
        <v>2.6684456304202801E-2</v>
      </c>
      <c r="E43">
        <v>0</v>
      </c>
      <c r="F43" s="3" t="s">
        <v>114</v>
      </c>
      <c r="G43" s="4">
        <f t="shared" si="0"/>
        <v>40</v>
      </c>
      <c r="H43" t="str">
        <f t="shared" si="1"/>
        <v>N/A</v>
      </c>
      <c r="I43" t="str">
        <f t="shared" si="2"/>
        <v>Low Discount</v>
      </c>
      <c r="J43" t="str">
        <f t="shared" si="3"/>
        <v>Medium Priced Product</v>
      </c>
    </row>
    <row r="44" spans="1:14" x14ac:dyDescent="0.25">
      <c r="A44" t="s">
        <v>103</v>
      </c>
      <c r="B44" s="4">
        <v>1420</v>
      </c>
      <c r="C44" s="4">
        <v>2420</v>
      </c>
      <c r="D44" s="5">
        <v>0.41322314049586778</v>
      </c>
      <c r="E44">
        <v>0</v>
      </c>
      <c r="F44" s="3" t="s">
        <v>114</v>
      </c>
      <c r="G44" s="4">
        <f t="shared" si="0"/>
        <v>1000</v>
      </c>
      <c r="H44" t="str">
        <f t="shared" si="1"/>
        <v>N/A</v>
      </c>
      <c r="I44" t="str">
        <f t="shared" si="2"/>
        <v>High Discount</v>
      </c>
      <c r="J44" t="str">
        <f t="shared" si="3"/>
        <v>Medium Priced Product</v>
      </c>
      <c r="K44" s="2"/>
    </row>
    <row r="45" spans="1:14" x14ac:dyDescent="0.25">
      <c r="A45" t="s">
        <v>31</v>
      </c>
      <c r="B45" s="4">
        <v>1350</v>
      </c>
      <c r="C45" s="4">
        <v>1990</v>
      </c>
      <c r="D45" s="5">
        <v>0.32160804020100503</v>
      </c>
      <c r="E45">
        <v>13</v>
      </c>
      <c r="F45" s="3">
        <v>3.8</v>
      </c>
      <c r="G45" s="4">
        <f t="shared" si="0"/>
        <v>640</v>
      </c>
      <c r="H45" t="str">
        <f t="shared" si="1"/>
        <v>Average Rating</v>
      </c>
      <c r="I45" t="str">
        <f t="shared" si="2"/>
        <v>Medium Discount</v>
      </c>
      <c r="J45" t="str">
        <f t="shared" si="3"/>
        <v>Medium Priced Product</v>
      </c>
      <c r="K45" s="2"/>
    </row>
    <row r="46" spans="1:14" x14ac:dyDescent="0.25">
      <c r="A46" t="s">
        <v>92</v>
      </c>
      <c r="B46" s="4">
        <v>1300</v>
      </c>
      <c r="C46" s="4">
        <v>2500</v>
      </c>
      <c r="D46" s="5">
        <v>0.48</v>
      </c>
      <c r="E46">
        <v>0</v>
      </c>
      <c r="F46" s="3" t="s">
        <v>114</v>
      </c>
      <c r="G46" s="4">
        <f t="shared" si="0"/>
        <v>1200</v>
      </c>
      <c r="H46" t="str">
        <f t="shared" si="1"/>
        <v>N/A</v>
      </c>
      <c r="I46" t="str">
        <f t="shared" si="2"/>
        <v>High Discount</v>
      </c>
      <c r="J46" t="str">
        <f t="shared" si="3"/>
        <v>Medium Priced Product</v>
      </c>
      <c r="K46" s="2"/>
    </row>
    <row r="47" spans="1:14" x14ac:dyDescent="0.25">
      <c r="A47" t="s">
        <v>12</v>
      </c>
      <c r="B47" s="4">
        <v>1274</v>
      </c>
      <c r="C47" s="4">
        <v>2800</v>
      </c>
      <c r="D47" s="5">
        <v>0.54500000000000004</v>
      </c>
      <c r="E47">
        <v>5</v>
      </c>
      <c r="F47" s="3">
        <v>4.8</v>
      </c>
      <c r="G47" s="4">
        <f t="shared" si="0"/>
        <v>1526</v>
      </c>
      <c r="H47" t="str">
        <f t="shared" si="1"/>
        <v>Excellent Rating</v>
      </c>
      <c r="I47" t="str">
        <f t="shared" si="2"/>
        <v>High Discount</v>
      </c>
      <c r="J47" t="str">
        <f t="shared" si="3"/>
        <v>Medium Priced Product</v>
      </c>
      <c r="K47" s="2"/>
    </row>
    <row r="48" spans="1:14" x14ac:dyDescent="0.25">
      <c r="A48" t="s">
        <v>67</v>
      </c>
      <c r="B48" s="4">
        <v>1220</v>
      </c>
      <c r="C48" s="4">
        <v>1555</v>
      </c>
      <c r="D48" s="5">
        <v>0.21543408360128619</v>
      </c>
      <c r="E48">
        <v>16</v>
      </c>
      <c r="F48" s="3">
        <v>2.9</v>
      </c>
      <c r="G48" s="4">
        <f t="shared" si="0"/>
        <v>335</v>
      </c>
      <c r="H48" t="str">
        <f t="shared" si="1"/>
        <v>Poor Rating</v>
      </c>
      <c r="I48" t="str">
        <f t="shared" si="2"/>
        <v>Medium Discount</v>
      </c>
      <c r="J48" t="str">
        <f t="shared" si="3"/>
        <v>Medium Priced Product</v>
      </c>
      <c r="K48" s="2"/>
    </row>
    <row r="49" spans="1:11" x14ac:dyDescent="0.25">
      <c r="A49" t="s">
        <v>95</v>
      </c>
      <c r="B49" s="4">
        <v>1200</v>
      </c>
      <c r="C49" s="4">
        <v>2400</v>
      </c>
      <c r="D49" s="5">
        <v>0.5</v>
      </c>
      <c r="E49">
        <v>0</v>
      </c>
      <c r="F49" s="3" t="s">
        <v>114</v>
      </c>
      <c r="G49" s="4">
        <f t="shared" si="0"/>
        <v>1200</v>
      </c>
      <c r="H49" t="str">
        <f t="shared" si="1"/>
        <v>N/A</v>
      </c>
      <c r="I49" t="str">
        <f t="shared" si="2"/>
        <v>High Discount</v>
      </c>
      <c r="J49" t="str">
        <f t="shared" si="3"/>
        <v>Medium Priced Product</v>
      </c>
      <c r="K49" s="2"/>
    </row>
    <row r="50" spans="1:11" x14ac:dyDescent="0.25">
      <c r="A50" t="s">
        <v>51</v>
      </c>
      <c r="B50" s="4">
        <v>1200</v>
      </c>
      <c r="C50" s="4">
        <v>1950</v>
      </c>
      <c r="D50" s="5">
        <v>0.38461538461538464</v>
      </c>
      <c r="E50">
        <v>0</v>
      </c>
      <c r="F50" s="3" t="s">
        <v>114</v>
      </c>
      <c r="G50" s="4">
        <f t="shared" si="0"/>
        <v>750</v>
      </c>
      <c r="H50" t="str">
        <f t="shared" si="1"/>
        <v>N/A</v>
      </c>
      <c r="I50" t="str">
        <f t="shared" si="2"/>
        <v>Medium Discount</v>
      </c>
      <c r="J50" t="str">
        <f t="shared" si="3"/>
        <v>Medium Priced Product</v>
      </c>
      <c r="K50" s="2"/>
    </row>
    <row r="51" spans="1:11" x14ac:dyDescent="0.25">
      <c r="A51" t="s">
        <v>107</v>
      </c>
      <c r="B51" s="4">
        <v>1190</v>
      </c>
      <c r="C51" s="4">
        <v>1810</v>
      </c>
      <c r="D51" s="5">
        <v>0.34254143646408841</v>
      </c>
      <c r="E51">
        <v>0</v>
      </c>
      <c r="F51" s="3" t="s">
        <v>114</v>
      </c>
      <c r="G51" s="4">
        <f t="shared" si="0"/>
        <v>620</v>
      </c>
      <c r="H51" t="str">
        <f t="shared" si="1"/>
        <v>N/A</v>
      </c>
      <c r="I51" t="str">
        <f t="shared" si="2"/>
        <v>Medium Discount</v>
      </c>
      <c r="J51" t="str">
        <f t="shared" si="3"/>
        <v>Medium Priced Product</v>
      </c>
    </row>
    <row r="52" spans="1:11" x14ac:dyDescent="0.25">
      <c r="A52" t="s">
        <v>49</v>
      </c>
      <c r="B52" s="4">
        <v>1190</v>
      </c>
      <c r="C52" s="4">
        <v>1785</v>
      </c>
      <c r="D52" s="5">
        <v>0.33333333333333331</v>
      </c>
      <c r="E52">
        <v>0</v>
      </c>
      <c r="F52" s="3" t="s">
        <v>114</v>
      </c>
      <c r="G52" s="4">
        <f t="shared" si="0"/>
        <v>595</v>
      </c>
      <c r="H52" t="str">
        <f t="shared" si="1"/>
        <v>N/A</v>
      </c>
      <c r="I52" t="str">
        <f t="shared" si="2"/>
        <v>Medium Discount</v>
      </c>
      <c r="J52" t="str">
        <f t="shared" si="3"/>
        <v>Medium Priced Product</v>
      </c>
    </row>
    <row r="53" spans="1:11" x14ac:dyDescent="0.25">
      <c r="A53" t="s">
        <v>81</v>
      </c>
      <c r="B53" s="4">
        <v>1189</v>
      </c>
      <c r="C53" s="4">
        <v>2199</v>
      </c>
      <c r="D53" s="5">
        <v>0.45929968167348795</v>
      </c>
      <c r="E53">
        <v>1</v>
      </c>
      <c r="F53" s="3">
        <v>3</v>
      </c>
      <c r="G53" s="4">
        <f t="shared" si="0"/>
        <v>1010</v>
      </c>
      <c r="H53" t="str">
        <f t="shared" si="1"/>
        <v>Average Rating</v>
      </c>
      <c r="I53" t="str">
        <f t="shared" si="2"/>
        <v>High Discount</v>
      </c>
      <c r="J53" t="str">
        <f t="shared" si="3"/>
        <v>Medium Priced Product</v>
      </c>
      <c r="K53" s="2"/>
    </row>
    <row r="54" spans="1:11" x14ac:dyDescent="0.25">
      <c r="A54" t="s">
        <v>106</v>
      </c>
      <c r="B54" s="4">
        <v>1150</v>
      </c>
      <c r="C54" s="4">
        <v>1737</v>
      </c>
      <c r="D54" s="5">
        <v>0.3379389752446747</v>
      </c>
      <c r="E54">
        <v>0</v>
      </c>
      <c r="F54" s="3" t="s">
        <v>114</v>
      </c>
      <c r="G54" s="4">
        <f t="shared" si="0"/>
        <v>587</v>
      </c>
      <c r="H54" t="str">
        <f t="shared" si="1"/>
        <v>N/A</v>
      </c>
      <c r="I54" t="str">
        <f t="shared" si="2"/>
        <v>Medium Discount</v>
      </c>
      <c r="J54" t="str">
        <f t="shared" si="3"/>
        <v>Medium Priced Product</v>
      </c>
    </row>
    <row r="55" spans="1:11" x14ac:dyDescent="0.25">
      <c r="A55" t="s">
        <v>101</v>
      </c>
      <c r="B55" s="4">
        <v>1080</v>
      </c>
      <c r="C55" s="4">
        <v>1874</v>
      </c>
      <c r="D55" s="5">
        <v>0.42369263607257202</v>
      </c>
      <c r="E55">
        <v>0</v>
      </c>
      <c r="F55" s="3" t="s">
        <v>114</v>
      </c>
      <c r="G55" s="4">
        <f t="shared" si="0"/>
        <v>794</v>
      </c>
      <c r="H55" t="str">
        <f t="shared" si="1"/>
        <v>N/A</v>
      </c>
      <c r="I55" t="str">
        <f t="shared" si="2"/>
        <v>High Discount</v>
      </c>
      <c r="J55" t="str">
        <f t="shared" si="3"/>
        <v>Medium Priced Product</v>
      </c>
      <c r="K55" s="2"/>
    </row>
    <row r="56" spans="1:11" x14ac:dyDescent="0.25">
      <c r="A56" t="s">
        <v>69</v>
      </c>
      <c r="B56" s="4">
        <v>1000</v>
      </c>
      <c r="C56" s="4">
        <v>2000</v>
      </c>
      <c r="D56" s="5">
        <v>0.5</v>
      </c>
      <c r="E56">
        <v>7</v>
      </c>
      <c r="F56" s="3">
        <v>2.2999999999999998</v>
      </c>
      <c r="G56" s="4">
        <f t="shared" si="0"/>
        <v>1000</v>
      </c>
      <c r="H56" t="str">
        <f t="shared" si="1"/>
        <v>Poor Rating</v>
      </c>
      <c r="I56" t="str">
        <f t="shared" si="2"/>
        <v>High Discount</v>
      </c>
      <c r="J56" t="str">
        <f t="shared" si="3"/>
        <v>Medium Priced Product</v>
      </c>
      <c r="K56" s="2"/>
    </row>
    <row r="57" spans="1:11" x14ac:dyDescent="0.25">
      <c r="A57" t="s">
        <v>48</v>
      </c>
      <c r="B57" s="4">
        <v>999</v>
      </c>
      <c r="C57" s="4">
        <v>2000</v>
      </c>
      <c r="D57" s="5">
        <v>0.50049999999999994</v>
      </c>
      <c r="E57">
        <v>0</v>
      </c>
      <c r="F57" s="3" t="s">
        <v>114</v>
      </c>
      <c r="G57" s="4">
        <f t="shared" si="0"/>
        <v>1001</v>
      </c>
      <c r="H57" t="str">
        <f t="shared" si="1"/>
        <v>N/A</v>
      </c>
      <c r="I57" t="str">
        <f t="shared" si="2"/>
        <v>High Discount</v>
      </c>
      <c r="J57" t="str">
        <f t="shared" si="3"/>
        <v>Medium Priced Product</v>
      </c>
    </row>
    <row r="58" spans="1:11" x14ac:dyDescent="0.25">
      <c r="A58" t="s">
        <v>23</v>
      </c>
      <c r="B58" s="4">
        <v>998</v>
      </c>
      <c r="C58" s="4">
        <v>1966</v>
      </c>
      <c r="D58" s="5">
        <v>0.49237029501525942</v>
      </c>
      <c r="E58">
        <v>44</v>
      </c>
      <c r="F58" s="3">
        <v>4.5999999999999996</v>
      </c>
      <c r="G58" s="4">
        <f t="shared" si="0"/>
        <v>968</v>
      </c>
      <c r="H58" t="str">
        <f t="shared" si="1"/>
        <v>Excellent Rating</v>
      </c>
      <c r="I58" t="str">
        <f t="shared" si="2"/>
        <v>High Discount</v>
      </c>
      <c r="J58" t="str">
        <f t="shared" si="3"/>
        <v>Medium Priced Product</v>
      </c>
      <c r="K58" s="2"/>
    </row>
    <row r="59" spans="1:11" x14ac:dyDescent="0.25">
      <c r="A59" t="s">
        <v>68</v>
      </c>
      <c r="B59" s="4">
        <v>990</v>
      </c>
      <c r="C59" s="4">
        <v>1814</v>
      </c>
      <c r="D59" s="5">
        <v>0.45424476295479604</v>
      </c>
      <c r="E59">
        <v>6</v>
      </c>
      <c r="F59" s="3">
        <v>2.2000000000000002</v>
      </c>
      <c r="G59" s="4">
        <f t="shared" si="0"/>
        <v>824</v>
      </c>
      <c r="H59" t="str">
        <f t="shared" si="1"/>
        <v>Poor Rating</v>
      </c>
      <c r="I59" t="str">
        <f t="shared" si="2"/>
        <v>High Discount</v>
      </c>
      <c r="J59" t="str">
        <f t="shared" si="3"/>
        <v>Medium Priced Product</v>
      </c>
      <c r="K59" s="2"/>
    </row>
    <row r="60" spans="1:11" x14ac:dyDescent="0.25">
      <c r="A60" t="s">
        <v>15</v>
      </c>
      <c r="B60" s="4">
        <v>990</v>
      </c>
      <c r="C60" s="4">
        <v>1500</v>
      </c>
      <c r="D60" s="5">
        <v>0.34</v>
      </c>
      <c r="E60">
        <v>39</v>
      </c>
      <c r="F60" s="3">
        <v>4.7</v>
      </c>
      <c r="G60" s="4">
        <f t="shared" si="0"/>
        <v>510</v>
      </c>
      <c r="H60" t="str">
        <f t="shared" si="1"/>
        <v>Excellent Rating</v>
      </c>
      <c r="I60" t="str">
        <f t="shared" si="2"/>
        <v>Medium Discount</v>
      </c>
      <c r="J60" t="str">
        <f t="shared" si="3"/>
        <v>Medium Priced Product</v>
      </c>
      <c r="K60" s="2"/>
    </row>
    <row r="61" spans="1:11" x14ac:dyDescent="0.25">
      <c r="A61" t="s">
        <v>11</v>
      </c>
      <c r="B61" s="4">
        <v>988</v>
      </c>
      <c r="C61" s="4">
        <v>1580</v>
      </c>
      <c r="D61" s="5">
        <v>0.37468354430379747</v>
      </c>
      <c r="E61">
        <v>2</v>
      </c>
      <c r="F61" s="3">
        <v>4</v>
      </c>
      <c r="G61" s="4">
        <f t="shared" si="0"/>
        <v>592</v>
      </c>
      <c r="H61" t="str">
        <f t="shared" si="1"/>
        <v>Average Rating</v>
      </c>
      <c r="I61" t="str">
        <f t="shared" si="2"/>
        <v>Medium Discount</v>
      </c>
      <c r="J61" t="str">
        <f t="shared" si="3"/>
        <v>Medium Priced Product</v>
      </c>
    </row>
    <row r="62" spans="1:11" x14ac:dyDescent="0.25">
      <c r="A62" t="s">
        <v>35</v>
      </c>
      <c r="B62" s="4">
        <v>980</v>
      </c>
      <c r="C62" s="4">
        <v>1490</v>
      </c>
      <c r="D62" s="5">
        <v>0.34228187919463088</v>
      </c>
      <c r="E62">
        <v>12</v>
      </c>
      <c r="F62" s="3">
        <v>4.7</v>
      </c>
      <c r="G62" s="4">
        <f t="shared" si="0"/>
        <v>510</v>
      </c>
      <c r="H62" t="str">
        <f t="shared" si="1"/>
        <v>Excellent Rating</v>
      </c>
      <c r="I62" t="str">
        <f t="shared" si="2"/>
        <v>Medium Discount</v>
      </c>
      <c r="J62" t="str">
        <f t="shared" si="3"/>
        <v>Medium Priced Product</v>
      </c>
      <c r="K62" s="2"/>
    </row>
    <row r="63" spans="1:11" x14ac:dyDescent="0.25">
      <c r="A63" t="s">
        <v>82</v>
      </c>
      <c r="B63" s="4">
        <v>979</v>
      </c>
      <c r="C63" s="4">
        <v>1920</v>
      </c>
      <c r="D63" s="5">
        <v>0.49010416666666667</v>
      </c>
      <c r="E63">
        <v>1</v>
      </c>
      <c r="F63" s="3">
        <v>5</v>
      </c>
      <c r="G63" s="4">
        <f t="shared" si="0"/>
        <v>941</v>
      </c>
      <c r="H63" t="str">
        <f t="shared" si="1"/>
        <v>Excellent Rating</v>
      </c>
      <c r="I63" t="str">
        <f t="shared" si="2"/>
        <v>High Discount</v>
      </c>
      <c r="J63" t="str">
        <f t="shared" si="3"/>
        <v>Medium Priced Product</v>
      </c>
    </row>
    <row r="64" spans="1:11" x14ac:dyDescent="0.25">
      <c r="A64" t="s">
        <v>75</v>
      </c>
      <c r="B64" s="4">
        <v>968</v>
      </c>
      <c r="C64" s="4">
        <v>1814</v>
      </c>
      <c r="D64" s="5">
        <v>0.46637265711135611</v>
      </c>
      <c r="E64">
        <v>6</v>
      </c>
      <c r="F64" s="3">
        <v>2.2000000000000002</v>
      </c>
      <c r="G64" s="4">
        <f t="shared" si="0"/>
        <v>846</v>
      </c>
      <c r="H64" t="str">
        <f t="shared" si="1"/>
        <v>Poor Rating</v>
      </c>
      <c r="I64" t="str">
        <f t="shared" si="2"/>
        <v>High Discount</v>
      </c>
      <c r="J64" t="str">
        <f t="shared" si="3"/>
        <v>Medium Priced Product</v>
      </c>
      <c r="K64" s="2"/>
    </row>
    <row r="65" spans="1:11" x14ac:dyDescent="0.25">
      <c r="A65" t="s">
        <v>4</v>
      </c>
      <c r="B65" s="4">
        <v>950</v>
      </c>
      <c r="C65" s="4">
        <v>1525</v>
      </c>
      <c r="D65" s="5">
        <v>0.37704918032786883</v>
      </c>
      <c r="E65">
        <v>2</v>
      </c>
      <c r="F65" s="3">
        <v>4.5</v>
      </c>
      <c r="G65" s="4">
        <f t="shared" si="0"/>
        <v>575</v>
      </c>
      <c r="H65" t="str">
        <f t="shared" si="1"/>
        <v>Excellent Rating</v>
      </c>
      <c r="I65" t="str">
        <f t="shared" si="2"/>
        <v>Medium Discount</v>
      </c>
      <c r="J65" t="str">
        <f t="shared" si="3"/>
        <v>Medium Priced Product</v>
      </c>
    </row>
    <row r="66" spans="1:11" x14ac:dyDescent="0.25">
      <c r="A66" t="s">
        <v>94</v>
      </c>
      <c r="B66" s="4">
        <v>899</v>
      </c>
      <c r="C66" s="4">
        <v>1699</v>
      </c>
      <c r="D66" s="5">
        <v>0.47086521483225424</v>
      </c>
      <c r="E66">
        <v>0</v>
      </c>
      <c r="F66" s="3" t="s">
        <v>114</v>
      </c>
      <c r="G66" s="4">
        <f t="shared" si="0"/>
        <v>800</v>
      </c>
      <c r="H66" t="str">
        <f t="shared" si="1"/>
        <v>N/A</v>
      </c>
      <c r="I66" t="str">
        <f t="shared" si="2"/>
        <v>High Discount</v>
      </c>
      <c r="J66" t="str">
        <f t="shared" si="3"/>
        <v>Medium Priced Product</v>
      </c>
    </row>
    <row r="67" spans="1:11" x14ac:dyDescent="0.25">
      <c r="A67" t="s">
        <v>26</v>
      </c>
      <c r="B67" s="4">
        <v>880</v>
      </c>
      <c r="C67" s="4">
        <v>1350</v>
      </c>
      <c r="D67" s="5">
        <v>0.34814814814814815</v>
      </c>
      <c r="E67">
        <v>6</v>
      </c>
      <c r="F67" s="3">
        <v>4</v>
      </c>
      <c r="G67" s="4">
        <f t="shared" ref="G67:G110" si="4">C67-B67</f>
        <v>470</v>
      </c>
      <c r="H67" t="str">
        <f t="shared" ref="H67:H110" si="5">IF(F67="Not Provided","N/A",IF(F67&lt;3,"Poor Rating",IF(F67&lt;=4.4,"Average Rating",IF(F67&gt;=4.5,"Excellent Rating"))))</f>
        <v>Average Rating</v>
      </c>
      <c r="I67" t="str">
        <f t="shared" ref="I67:I110" si="6">IF(D67&lt;20%,"Low Discount",IF(D67&lt;=40%,"Medium Discount","High Discount"))</f>
        <v>Medium Discount</v>
      </c>
      <c r="J67" t="str">
        <f t="shared" ref="J67:J110" si="7">IF(B67&lt;800,"Low Priced Product",
IF(B67&lt;2500,"Medium Priced Product",
IF(B67&gt;=2500,"High Value Product")))</f>
        <v>Medium Priced Product</v>
      </c>
      <c r="K67" s="2"/>
    </row>
    <row r="68" spans="1:11" x14ac:dyDescent="0.25">
      <c r="A68" t="s">
        <v>91</v>
      </c>
      <c r="B68" s="4">
        <v>850</v>
      </c>
      <c r="C68" s="4">
        <v>1700</v>
      </c>
      <c r="D68" s="5">
        <v>0.5</v>
      </c>
      <c r="E68">
        <v>0</v>
      </c>
      <c r="F68" s="3" t="s">
        <v>114</v>
      </c>
      <c r="G68" s="4">
        <f t="shared" si="4"/>
        <v>850</v>
      </c>
      <c r="H68" t="str">
        <f t="shared" si="5"/>
        <v>N/A</v>
      </c>
      <c r="I68" t="str">
        <f t="shared" si="6"/>
        <v>High Discount</v>
      </c>
      <c r="J68" t="str">
        <f t="shared" si="7"/>
        <v>Medium Priced Product</v>
      </c>
      <c r="K68" s="2"/>
    </row>
    <row r="69" spans="1:11" x14ac:dyDescent="0.25">
      <c r="A69" t="s">
        <v>60</v>
      </c>
      <c r="B69" s="4">
        <v>799</v>
      </c>
      <c r="C69" s="4">
        <v>1567</v>
      </c>
      <c r="D69" s="5">
        <v>0.49010848755583919</v>
      </c>
      <c r="E69">
        <v>0</v>
      </c>
      <c r="F69" s="3" t="s">
        <v>114</v>
      </c>
      <c r="G69" s="4">
        <f t="shared" si="4"/>
        <v>768</v>
      </c>
      <c r="H69" t="str">
        <f t="shared" si="5"/>
        <v>N/A</v>
      </c>
      <c r="I69" t="str">
        <f t="shared" si="6"/>
        <v>High Discount</v>
      </c>
      <c r="J69" t="str">
        <f t="shared" si="7"/>
        <v>Low Priced Product</v>
      </c>
      <c r="K69" s="2"/>
    </row>
    <row r="70" spans="1:11" x14ac:dyDescent="0.25">
      <c r="A70" t="s">
        <v>57</v>
      </c>
      <c r="B70" s="4">
        <v>799</v>
      </c>
      <c r="C70" s="4">
        <v>1343</v>
      </c>
      <c r="D70" s="5">
        <v>0.4050632911392405</v>
      </c>
      <c r="E70">
        <v>0</v>
      </c>
      <c r="F70" s="3" t="s">
        <v>114</v>
      </c>
      <c r="G70" s="4">
        <f t="shared" si="4"/>
        <v>544</v>
      </c>
      <c r="H70" t="str">
        <f t="shared" si="5"/>
        <v>N/A</v>
      </c>
      <c r="I70" t="str">
        <f t="shared" si="6"/>
        <v>High Discount</v>
      </c>
      <c r="J70" t="str">
        <f t="shared" si="7"/>
        <v>Low Priced Product</v>
      </c>
      <c r="K70" s="2"/>
    </row>
    <row r="71" spans="1:11" x14ac:dyDescent="0.25">
      <c r="A71" t="s">
        <v>14</v>
      </c>
      <c r="B71" s="4">
        <v>799</v>
      </c>
      <c r="C71" s="4">
        <v>999</v>
      </c>
      <c r="D71" s="5">
        <v>0.20020020020020021</v>
      </c>
      <c r="E71">
        <v>12</v>
      </c>
      <c r="F71" s="3">
        <v>4.0999999999999996</v>
      </c>
      <c r="G71" s="4">
        <f t="shared" si="4"/>
        <v>200</v>
      </c>
      <c r="H71" t="str">
        <f t="shared" si="5"/>
        <v>Average Rating</v>
      </c>
      <c r="I71" t="str">
        <f t="shared" si="6"/>
        <v>Medium Discount</v>
      </c>
      <c r="J71" t="str">
        <f t="shared" si="7"/>
        <v>Low Priced Product</v>
      </c>
    </row>
    <row r="72" spans="1:11" x14ac:dyDescent="0.25">
      <c r="A72" t="s">
        <v>88</v>
      </c>
      <c r="B72" s="4">
        <v>799</v>
      </c>
      <c r="C72" s="4">
        <v>900</v>
      </c>
      <c r="D72" s="5">
        <v>0.11222222222222222</v>
      </c>
      <c r="E72">
        <v>0</v>
      </c>
      <c r="F72" s="3" t="s">
        <v>114</v>
      </c>
      <c r="G72" s="4">
        <f t="shared" si="4"/>
        <v>101</v>
      </c>
      <c r="H72" t="str">
        <f t="shared" si="5"/>
        <v>N/A</v>
      </c>
      <c r="I72" t="str">
        <f t="shared" si="6"/>
        <v>Low Discount</v>
      </c>
      <c r="J72" t="str">
        <f t="shared" si="7"/>
        <v>Low Priced Product</v>
      </c>
      <c r="K72" s="2"/>
    </row>
    <row r="73" spans="1:11" x14ac:dyDescent="0.25">
      <c r="A73" t="s">
        <v>77</v>
      </c>
      <c r="B73" s="4">
        <v>790</v>
      </c>
      <c r="C73" s="4">
        <v>1485</v>
      </c>
      <c r="D73" s="5">
        <v>0.46801346801346799</v>
      </c>
      <c r="E73">
        <v>0</v>
      </c>
      <c r="F73" s="3" t="s">
        <v>114</v>
      </c>
      <c r="G73" s="4">
        <f t="shared" si="4"/>
        <v>695</v>
      </c>
      <c r="H73" t="str">
        <f t="shared" si="5"/>
        <v>N/A</v>
      </c>
      <c r="I73" t="str">
        <f t="shared" si="6"/>
        <v>High Discount</v>
      </c>
      <c r="J73" t="str">
        <f t="shared" si="7"/>
        <v>Low Priced Product</v>
      </c>
    </row>
    <row r="74" spans="1:11" x14ac:dyDescent="0.25">
      <c r="A74" t="s">
        <v>59</v>
      </c>
      <c r="B74" s="4">
        <v>699</v>
      </c>
      <c r="C74" s="4">
        <v>1343</v>
      </c>
      <c r="D74" s="5">
        <v>0.47952345495160087</v>
      </c>
      <c r="E74">
        <v>0</v>
      </c>
      <c r="F74" s="3" t="s">
        <v>114</v>
      </c>
      <c r="G74" s="4">
        <f t="shared" si="4"/>
        <v>644</v>
      </c>
      <c r="H74" t="str">
        <f t="shared" si="5"/>
        <v>N/A</v>
      </c>
      <c r="I74" t="str">
        <f t="shared" si="6"/>
        <v>High Discount</v>
      </c>
      <c r="J74" t="str">
        <f t="shared" si="7"/>
        <v>Low Priced Product</v>
      </c>
    </row>
    <row r="75" spans="1:11" x14ac:dyDescent="0.25">
      <c r="A75" t="s">
        <v>78</v>
      </c>
      <c r="B75" s="4">
        <v>690</v>
      </c>
      <c r="C75" s="4">
        <v>1200</v>
      </c>
      <c r="D75" s="5">
        <v>0.42499999999999999</v>
      </c>
      <c r="E75">
        <v>0</v>
      </c>
      <c r="F75" s="3" t="s">
        <v>114</v>
      </c>
      <c r="G75" s="4">
        <f t="shared" si="4"/>
        <v>510</v>
      </c>
      <c r="H75" t="str">
        <f t="shared" si="5"/>
        <v>N/A</v>
      </c>
      <c r="I75" t="str">
        <f t="shared" si="6"/>
        <v>High Discount</v>
      </c>
      <c r="J75" t="str">
        <f t="shared" si="7"/>
        <v>Low Priced Product</v>
      </c>
      <c r="K75" s="2"/>
    </row>
    <row r="76" spans="1:11" x14ac:dyDescent="0.25">
      <c r="A76" t="s">
        <v>50</v>
      </c>
      <c r="B76" s="4">
        <v>671</v>
      </c>
      <c r="C76" s="4">
        <v>1316</v>
      </c>
      <c r="D76" s="5">
        <v>0.49012158054711247</v>
      </c>
      <c r="E76">
        <v>0</v>
      </c>
      <c r="F76" s="3" t="s">
        <v>114</v>
      </c>
      <c r="G76" s="4">
        <f t="shared" si="4"/>
        <v>645</v>
      </c>
      <c r="H76" t="str">
        <f t="shared" si="5"/>
        <v>N/A</v>
      </c>
      <c r="I76" t="str">
        <f t="shared" si="6"/>
        <v>High Discount</v>
      </c>
      <c r="J76" t="str">
        <f t="shared" si="7"/>
        <v>Low Priced Product</v>
      </c>
      <c r="K76" s="2"/>
    </row>
    <row r="77" spans="1:11" x14ac:dyDescent="0.25">
      <c r="A77" t="s">
        <v>90</v>
      </c>
      <c r="B77" s="4">
        <v>630</v>
      </c>
      <c r="C77" s="4">
        <v>1100</v>
      </c>
      <c r="D77" s="5">
        <v>0.42727272727272725</v>
      </c>
      <c r="E77">
        <v>0</v>
      </c>
      <c r="F77" s="3" t="s">
        <v>114</v>
      </c>
      <c r="G77" s="4">
        <f t="shared" si="4"/>
        <v>470</v>
      </c>
      <c r="H77" t="str">
        <f t="shared" si="5"/>
        <v>N/A</v>
      </c>
      <c r="I77" t="str">
        <f t="shared" si="6"/>
        <v>High Discount</v>
      </c>
      <c r="J77" t="str">
        <f t="shared" si="7"/>
        <v>Low Priced Product</v>
      </c>
      <c r="K77" s="2"/>
    </row>
    <row r="78" spans="1:11" x14ac:dyDescent="0.25">
      <c r="A78" t="s">
        <v>46</v>
      </c>
      <c r="B78" s="4">
        <v>610</v>
      </c>
      <c r="C78" s="4">
        <v>1060</v>
      </c>
      <c r="D78" s="5">
        <v>0.42452830188679247</v>
      </c>
      <c r="E78">
        <v>0</v>
      </c>
      <c r="F78" s="3" t="s">
        <v>114</v>
      </c>
      <c r="G78" s="4">
        <f t="shared" si="4"/>
        <v>450</v>
      </c>
      <c r="H78" t="str">
        <f t="shared" si="5"/>
        <v>N/A</v>
      </c>
      <c r="I78" t="str">
        <f t="shared" si="6"/>
        <v>High Discount</v>
      </c>
      <c r="J78" t="str">
        <f t="shared" si="7"/>
        <v>Low Priced Product</v>
      </c>
      <c r="K78" s="2"/>
    </row>
    <row r="79" spans="1:11" x14ac:dyDescent="0.25">
      <c r="A79" t="s">
        <v>16</v>
      </c>
      <c r="B79" s="4">
        <v>552</v>
      </c>
      <c r="C79" s="4">
        <v>1035</v>
      </c>
      <c r="D79" s="5">
        <v>0.46666666666666667</v>
      </c>
      <c r="E79">
        <v>12</v>
      </c>
      <c r="F79" s="3">
        <v>4.8</v>
      </c>
      <c r="G79" s="4">
        <f t="shared" si="4"/>
        <v>483</v>
      </c>
      <c r="H79" t="str">
        <f t="shared" si="5"/>
        <v>Excellent Rating</v>
      </c>
      <c r="I79" t="str">
        <f t="shared" si="6"/>
        <v>High Discount</v>
      </c>
      <c r="J79" t="str">
        <f t="shared" si="7"/>
        <v>Low Priced Product</v>
      </c>
      <c r="K79" s="2"/>
    </row>
    <row r="80" spans="1:11" x14ac:dyDescent="0.25">
      <c r="A80" t="s">
        <v>5</v>
      </c>
      <c r="B80" s="4">
        <v>527</v>
      </c>
      <c r="C80" s="4">
        <v>999</v>
      </c>
      <c r="D80" s="5">
        <v>0.47247247247247248</v>
      </c>
      <c r="E80">
        <v>14</v>
      </c>
      <c r="F80" s="3">
        <v>4.0999999999999996</v>
      </c>
      <c r="G80" s="4">
        <f t="shared" si="4"/>
        <v>472</v>
      </c>
      <c r="H80" t="str">
        <f t="shared" si="5"/>
        <v>Average Rating</v>
      </c>
      <c r="I80" t="str">
        <f t="shared" si="6"/>
        <v>High Discount</v>
      </c>
      <c r="J80" t="str">
        <f t="shared" si="7"/>
        <v>Low Priced Product</v>
      </c>
    </row>
    <row r="81" spans="1:11" x14ac:dyDescent="0.25">
      <c r="A81" t="s">
        <v>100</v>
      </c>
      <c r="B81" s="4">
        <v>525</v>
      </c>
      <c r="C81" s="4">
        <v>1029</v>
      </c>
      <c r="D81" s="5">
        <v>0.48979591836734693</v>
      </c>
      <c r="E81">
        <v>0</v>
      </c>
      <c r="F81" s="3" t="s">
        <v>114</v>
      </c>
      <c r="G81" s="4">
        <f t="shared" si="4"/>
        <v>504</v>
      </c>
      <c r="H81" t="str">
        <f t="shared" si="5"/>
        <v>N/A</v>
      </c>
      <c r="I81" t="str">
        <f t="shared" si="6"/>
        <v>High Discount</v>
      </c>
      <c r="J81" t="str">
        <f t="shared" si="7"/>
        <v>Low Priced Product</v>
      </c>
      <c r="K81" s="2"/>
    </row>
    <row r="82" spans="1:11" x14ac:dyDescent="0.25">
      <c r="A82" t="s">
        <v>74</v>
      </c>
      <c r="B82" s="4">
        <v>509</v>
      </c>
      <c r="C82" s="4">
        <v>899</v>
      </c>
      <c r="D82" s="5">
        <v>0.43381535038932145</v>
      </c>
      <c r="E82">
        <v>5</v>
      </c>
      <c r="F82" s="3">
        <v>3</v>
      </c>
      <c r="G82" s="4">
        <f t="shared" si="4"/>
        <v>390</v>
      </c>
      <c r="H82" t="str">
        <f t="shared" si="5"/>
        <v>Average Rating</v>
      </c>
      <c r="I82" t="str">
        <f t="shared" si="6"/>
        <v>High Discount</v>
      </c>
      <c r="J82" t="str">
        <f t="shared" si="7"/>
        <v>Low Priced Product</v>
      </c>
      <c r="K82" s="2"/>
    </row>
    <row r="83" spans="1:11" x14ac:dyDescent="0.25">
      <c r="A83" t="s">
        <v>17</v>
      </c>
      <c r="B83" s="4">
        <v>501</v>
      </c>
      <c r="C83" s="4">
        <v>860</v>
      </c>
      <c r="D83" s="5">
        <v>0.41744186046511628</v>
      </c>
      <c r="E83">
        <v>6</v>
      </c>
      <c r="F83" s="3">
        <v>4.5</v>
      </c>
      <c r="G83" s="4">
        <f t="shared" si="4"/>
        <v>359</v>
      </c>
      <c r="H83" t="str">
        <f t="shared" si="5"/>
        <v>Excellent Rating</v>
      </c>
      <c r="I83" t="str">
        <f t="shared" si="6"/>
        <v>High Discount</v>
      </c>
      <c r="J83" t="str">
        <f t="shared" si="7"/>
        <v>Low Priced Product</v>
      </c>
      <c r="K83" s="2"/>
    </row>
    <row r="84" spans="1:11" x14ac:dyDescent="0.25">
      <c r="A84" t="s">
        <v>58</v>
      </c>
      <c r="B84" s="4">
        <v>499</v>
      </c>
      <c r="C84" s="4">
        <v>900</v>
      </c>
      <c r="D84" s="5">
        <v>0.44555555555555554</v>
      </c>
      <c r="E84">
        <v>0</v>
      </c>
      <c r="F84" s="3" t="s">
        <v>114</v>
      </c>
      <c r="G84" s="4">
        <f t="shared" si="4"/>
        <v>401</v>
      </c>
      <c r="H84" t="str">
        <f t="shared" si="5"/>
        <v>N/A</v>
      </c>
      <c r="I84" t="str">
        <f t="shared" si="6"/>
        <v>High Discount</v>
      </c>
      <c r="J84" t="str">
        <f t="shared" si="7"/>
        <v>Low Priced Product</v>
      </c>
      <c r="K84" s="2"/>
    </row>
    <row r="85" spans="1:11" x14ac:dyDescent="0.25">
      <c r="A85" t="s">
        <v>44</v>
      </c>
      <c r="B85" s="4">
        <v>475</v>
      </c>
      <c r="C85" s="4">
        <v>931</v>
      </c>
      <c r="D85" s="5">
        <v>0.48979591836734693</v>
      </c>
      <c r="E85">
        <v>0</v>
      </c>
      <c r="F85" s="3" t="s">
        <v>114</v>
      </c>
      <c r="G85" s="4">
        <f t="shared" si="4"/>
        <v>456</v>
      </c>
      <c r="H85" t="str">
        <f t="shared" si="5"/>
        <v>N/A</v>
      </c>
      <c r="I85" t="str">
        <f t="shared" si="6"/>
        <v>High Discount</v>
      </c>
      <c r="J85" t="str">
        <f t="shared" si="7"/>
        <v>Low Priced Product</v>
      </c>
    </row>
    <row r="86" spans="1:11" x14ac:dyDescent="0.25">
      <c r="A86" t="s">
        <v>63</v>
      </c>
      <c r="B86" s="4">
        <v>458</v>
      </c>
      <c r="C86" s="4">
        <v>986</v>
      </c>
      <c r="D86" s="5">
        <v>0.53549695740365111</v>
      </c>
      <c r="E86">
        <v>10</v>
      </c>
      <c r="F86" s="3">
        <v>3</v>
      </c>
      <c r="G86" s="4">
        <f t="shared" si="4"/>
        <v>528</v>
      </c>
      <c r="H86" t="str">
        <f t="shared" si="5"/>
        <v>Average Rating</v>
      </c>
      <c r="I86" t="str">
        <f t="shared" si="6"/>
        <v>High Discount</v>
      </c>
      <c r="J86" t="str">
        <f t="shared" si="7"/>
        <v>Low Priced Product</v>
      </c>
      <c r="K86" s="2"/>
    </row>
    <row r="87" spans="1:11" x14ac:dyDescent="0.25">
      <c r="A87" t="s">
        <v>111</v>
      </c>
      <c r="B87" s="4">
        <v>450</v>
      </c>
      <c r="C87" s="4">
        <v>900</v>
      </c>
      <c r="D87" s="5">
        <v>0.5</v>
      </c>
      <c r="E87">
        <v>1</v>
      </c>
      <c r="F87" s="3">
        <v>2</v>
      </c>
      <c r="G87" s="4">
        <f t="shared" si="4"/>
        <v>450</v>
      </c>
      <c r="H87" t="str">
        <f t="shared" si="5"/>
        <v>Poor Rating</v>
      </c>
      <c r="I87" t="str">
        <f t="shared" si="6"/>
        <v>High Discount</v>
      </c>
      <c r="J87" t="str">
        <f t="shared" si="7"/>
        <v>Low Priced Product</v>
      </c>
    </row>
    <row r="88" spans="1:11" x14ac:dyDescent="0.25">
      <c r="A88" t="s">
        <v>65</v>
      </c>
      <c r="B88" s="4">
        <v>445</v>
      </c>
      <c r="C88" s="4">
        <v>873</v>
      </c>
      <c r="D88" s="5">
        <v>0.49026345933562426</v>
      </c>
      <c r="E88">
        <v>69</v>
      </c>
      <c r="F88" s="3">
        <v>2.8</v>
      </c>
      <c r="G88" s="4">
        <f t="shared" si="4"/>
        <v>428</v>
      </c>
      <c r="H88" t="str">
        <f t="shared" si="5"/>
        <v>Poor Rating</v>
      </c>
      <c r="I88" t="str">
        <f t="shared" si="6"/>
        <v>High Discount</v>
      </c>
      <c r="J88" t="str">
        <f t="shared" si="7"/>
        <v>Low Priced Product</v>
      </c>
      <c r="K88" s="2"/>
    </row>
    <row r="89" spans="1:11" x14ac:dyDescent="0.25">
      <c r="A89" t="s">
        <v>29</v>
      </c>
      <c r="B89" s="4">
        <v>420</v>
      </c>
      <c r="C89" s="4">
        <v>647</v>
      </c>
      <c r="D89" s="5">
        <v>0.3508500772797527</v>
      </c>
      <c r="E89">
        <v>49</v>
      </c>
      <c r="F89" s="3">
        <v>4.5999999999999996</v>
      </c>
      <c r="G89" s="4">
        <f t="shared" si="4"/>
        <v>227</v>
      </c>
      <c r="H89" t="str">
        <f t="shared" si="5"/>
        <v>Excellent Rating</v>
      </c>
      <c r="I89" t="str">
        <f t="shared" si="6"/>
        <v>Medium Discount</v>
      </c>
      <c r="J89" t="str">
        <f t="shared" si="7"/>
        <v>Low Priced Product</v>
      </c>
    </row>
    <row r="90" spans="1:11" x14ac:dyDescent="0.25">
      <c r="A90" t="s">
        <v>41</v>
      </c>
      <c r="B90" s="4">
        <v>389</v>
      </c>
      <c r="C90" s="4">
        <v>656</v>
      </c>
      <c r="D90" s="5">
        <v>0.40701219512195119</v>
      </c>
      <c r="E90">
        <v>36</v>
      </c>
      <c r="F90" s="3">
        <v>4.3</v>
      </c>
      <c r="G90" s="4">
        <f t="shared" si="4"/>
        <v>267</v>
      </c>
      <c r="H90" t="str">
        <f t="shared" si="5"/>
        <v>Average Rating</v>
      </c>
      <c r="I90" t="str">
        <f t="shared" si="6"/>
        <v>High Discount</v>
      </c>
      <c r="J90" t="str">
        <f t="shared" si="7"/>
        <v>Low Priced Product</v>
      </c>
    </row>
    <row r="91" spans="1:11" x14ac:dyDescent="0.25">
      <c r="A91" t="s">
        <v>71</v>
      </c>
      <c r="B91" s="4">
        <v>382</v>
      </c>
      <c r="C91" s="4">
        <v>700</v>
      </c>
      <c r="D91" s="5">
        <v>0.45428571428571429</v>
      </c>
      <c r="E91">
        <v>17</v>
      </c>
      <c r="F91" s="3">
        <v>2.6</v>
      </c>
      <c r="G91" s="4">
        <f t="shared" si="4"/>
        <v>318</v>
      </c>
      <c r="H91" t="str">
        <f t="shared" si="5"/>
        <v>Poor Rating</v>
      </c>
      <c r="I91" t="str">
        <f t="shared" si="6"/>
        <v>High Discount</v>
      </c>
      <c r="J91" t="str">
        <f t="shared" si="7"/>
        <v>Low Priced Product</v>
      </c>
      <c r="K91" s="2"/>
    </row>
    <row r="92" spans="1:11" x14ac:dyDescent="0.25">
      <c r="A92" t="s">
        <v>73</v>
      </c>
      <c r="B92" s="4">
        <v>345</v>
      </c>
      <c r="C92" s="4">
        <v>602</v>
      </c>
      <c r="D92" s="5">
        <v>0.42691029900332228</v>
      </c>
      <c r="E92">
        <v>6</v>
      </c>
      <c r="F92" s="3">
        <v>2.2999999999999998</v>
      </c>
      <c r="G92" s="4">
        <f t="shared" si="4"/>
        <v>257</v>
      </c>
      <c r="H92" t="str">
        <f t="shared" si="5"/>
        <v>Poor Rating</v>
      </c>
      <c r="I92" t="str">
        <f t="shared" si="6"/>
        <v>High Discount</v>
      </c>
      <c r="J92" t="str">
        <f t="shared" si="7"/>
        <v>Low Priced Product</v>
      </c>
      <c r="K92" s="2"/>
    </row>
    <row r="93" spans="1:11" x14ac:dyDescent="0.25">
      <c r="A93" t="s">
        <v>19</v>
      </c>
      <c r="B93" s="4">
        <v>332</v>
      </c>
      <c r="C93" s="4">
        <v>684</v>
      </c>
      <c r="D93" s="5">
        <v>0.51461988304093564</v>
      </c>
      <c r="E93">
        <v>2</v>
      </c>
      <c r="F93" s="3">
        <v>5</v>
      </c>
      <c r="G93" s="4">
        <f t="shared" si="4"/>
        <v>352</v>
      </c>
      <c r="H93" t="str">
        <f t="shared" si="5"/>
        <v>Excellent Rating</v>
      </c>
      <c r="I93" t="str">
        <f t="shared" si="6"/>
        <v>High Discount</v>
      </c>
      <c r="J93" t="str">
        <f t="shared" si="7"/>
        <v>Low Priced Product</v>
      </c>
      <c r="K93" s="2"/>
    </row>
    <row r="94" spans="1:11" x14ac:dyDescent="0.25">
      <c r="A94" t="s">
        <v>85</v>
      </c>
      <c r="B94" s="4">
        <v>330</v>
      </c>
      <c r="C94" s="4">
        <v>647</v>
      </c>
      <c r="D94" s="5">
        <v>0.48995363214837712</v>
      </c>
      <c r="E94">
        <v>1</v>
      </c>
      <c r="F94" s="3">
        <v>4</v>
      </c>
      <c r="G94" s="4">
        <f t="shared" si="4"/>
        <v>317</v>
      </c>
      <c r="H94" t="str">
        <f t="shared" si="5"/>
        <v>Average Rating</v>
      </c>
      <c r="I94" t="str">
        <f t="shared" si="6"/>
        <v>High Discount</v>
      </c>
      <c r="J94" t="str">
        <f t="shared" si="7"/>
        <v>Low Priced Product</v>
      </c>
      <c r="K94" s="2"/>
    </row>
    <row r="95" spans="1:11" x14ac:dyDescent="0.25">
      <c r="A95" t="s">
        <v>66</v>
      </c>
      <c r="B95" s="4">
        <v>325</v>
      </c>
      <c r="C95" s="4">
        <v>680</v>
      </c>
      <c r="D95" s="5">
        <v>0.5220588235294118</v>
      </c>
      <c r="E95">
        <v>15</v>
      </c>
      <c r="F95" s="3">
        <v>2.7</v>
      </c>
      <c r="G95" s="4">
        <f t="shared" si="4"/>
        <v>355</v>
      </c>
      <c r="H95" t="str">
        <f t="shared" si="5"/>
        <v>Poor Rating</v>
      </c>
      <c r="I95" t="str">
        <f t="shared" si="6"/>
        <v>High Discount</v>
      </c>
      <c r="J95" t="str">
        <f t="shared" si="7"/>
        <v>Low Priced Product</v>
      </c>
      <c r="K95" s="2"/>
    </row>
    <row r="96" spans="1:11" x14ac:dyDescent="0.25">
      <c r="A96" t="s">
        <v>53</v>
      </c>
      <c r="B96" s="4">
        <v>299</v>
      </c>
      <c r="C96" s="4">
        <v>600</v>
      </c>
      <c r="D96" s="5">
        <v>0.50166666666666671</v>
      </c>
      <c r="E96">
        <v>0</v>
      </c>
      <c r="F96" s="3" t="s">
        <v>114</v>
      </c>
      <c r="G96" s="4">
        <f t="shared" si="4"/>
        <v>301</v>
      </c>
      <c r="H96" t="str">
        <f t="shared" si="5"/>
        <v>N/A</v>
      </c>
      <c r="I96" t="str">
        <f t="shared" si="6"/>
        <v>High Discount</v>
      </c>
      <c r="J96" t="str">
        <f t="shared" si="7"/>
        <v>Low Priced Product</v>
      </c>
    </row>
    <row r="97" spans="1:11" x14ac:dyDescent="0.25">
      <c r="A97" t="s">
        <v>55</v>
      </c>
      <c r="B97" s="4">
        <v>299</v>
      </c>
      <c r="C97" s="4">
        <v>384</v>
      </c>
      <c r="D97" s="5">
        <v>0.22135416666666666</v>
      </c>
      <c r="E97">
        <v>0</v>
      </c>
      <c r="F97" s="3" t="s">
        <v>114</v>
      </c>
      <c r="G97" s="4">
        <f t="shared" si="4"/>
        <v>85</v>
      </c>
      <c r="H97" t="str">
        <f t="shared" si="5"/>
        <v>N/A</v>
      </c>
      <c r="I97" t="str">
        <f t="shared" si="6"/>
        <v>Medium Discount</v>
      </c>
      <c r="J97" t="str">
        <f t="shared" si="7"/>
        <v>Low Priced Product</v>
      </c>
      <c r="K97" s="2"/>
    </row>
    <row r="98" spans="1:11" x14ac:dyDescent="0.25">
      <c r="A98" t="s">
        <v>87</v>
      </c>
      <c r="B98" s="4">
        <v>274</v>
      </c>
      <c r="C98" s="4">
        <v>537</v>
      </c>
      <c r="D98" s="5">
        <v>0.48975791433891991</v>
      </c>
      <c r="E98">
        <v>0</v>
      </c>
      <c r="F98" s="3" t="s">
        <v>114</v>
      </c>
      <c r="G98" s="4">
        <f t="shared" si="4"/>
        <v>263</v>
      </c>
      <c r="H98" t="str">
        <f t="shared" si="5"/>
        <v>N/A</v>
      </c>
      <c r="I98" t="str">
        <f t="shared" si="6"/>
        <v>High Discount</v>
      </c>
      <c r="J98" t="str">
        <f t="shared" si="7"/>
        <v>Low Priced Product</v>
      </c>
      <c r="K98" s="2"/>
    </row>
    <row r="99" spans="1:11" x14ac:dyDescent="0.25">
      <c r="A99" t="s">
        <v>98</v>
      </c>
      <c r="B99" s="4">
        <v>248</v>
      </c>
      <c r="C99" s="4">
        <v>486</v>
      </c>
      <c r="D99" s="5">
        <v>0.48971193415637859</v>
      </c>
      <c r="E99">
        <v>0</v>
      </c>
      <c r="F99" s="3" t="s">
        <v>114</v>
      </c>
      <c r="G99" s="4">
        <f t="shared" si="4"/>
        <v>238</v>
      </c>
      <c r="H99" t="str">
        <f t="shared" si="5"/>
        <v>N/A</v>
      </c>
      <c r="I99" t="str">
        <f t="shared" si="6"/>
        <v>High Discount</v>
      </c>
      <c r="J99" t="str">
        <f t="shared" si="7"/>
        <v>Low Priced Product</v>
      </c>
      <c r="K99" s="2"/>
    </row>
    <row r="100" spans="1:11" x14ac:dyDescent="0.25">
      <c r="A100" t="s">
        <v>45</v>
      </c>
      <c r="B100" s="4">
        <v>238</v>
      </c>
      <c r="C100" s="4">
        <v>476</v>
      </c>
      <c r="D100" s="5">
        <v>0.5</v>
      </c>
      <c r="E100">
        <v>0</v>
      </c>
      <c r="F100" s="3" t="s">
        <v>114</v>
      </c>
      <c r="G100" s="4">
        <f t="shared" si="4"/>
        <v>238</v>
      </c>
      <c r="H100" t="str">
        <f t="shared" si="5"/>
        <v>N/A</v>
      </c>
      <c r="I100" t="str">
        <f t="shared" si="6"/>
        <v>High Discount</v>
      </c>
      <c r="J100" t="str">
        <f t="shared" si="7"/>
        <v>Low Priced Product</v>
      </c>
      <c r="K100" s="2"/>
    </row>
    <row r="101" spans="1:11" x14ac:dyDescent="0.25">
      <c r="A101" t="s">
        <v>80</v>
      </c>
      <c r="B101" s="4">
        <v>230</v>
      </c>
      <c r="C101" s="4">
        <v>450</v>
      </c>
      <c r="D101" s="5">
        <v>0.48888888888888887</v>
      </c>
      <c r="E101">
        <v>0</v>
      </c>
      <c r="F101" s="3" t="s">
        <v>114</v>
      </c>
      <c r="G101" s="4">
        <f t="shared" si="4"/>
        <v>220</v>
      </c>
      <c r="H101" t="str">
        <f t="shared" si="5"/>
        <v>N/A</v>
      </c>
      <c r="I101" t="str">
        <f t="shared" si="6"/>
        <v>High Discount</v>
      </c>
      <c r="J101" t="str">
        <f t="shared" si="7"/>
        <v>Low Priced Product</v>
      </c>
      <c r="K101" s="2"/>
    </row>
    <row r="102" spans="1:11" x14ac:dyDescent="0.25">
      <c r="A102" t="s">
        <v>110</v>
      </c>
      <c r="B102" s="4">
        <v>199</v>
      </c>
      <c r="C102" s="4">
        <v>553</v>
      </c>
      <c r="D102" s="5">
        <v>0.64014466546112114</v>
      </c>
      <c r="E102">
        <v>0</v>
      </c>
      <c r="F102" s="3" t="s">
        <v>114</v>
      </c>
      <c r="G102" s="4">
        <f t="shared" si="4"/>
        <v>354</v>
      </c>
      <c r="H102" t="str">
        <f t="shared" si="5"/>
        <v>N/A</v>
      </c>
      <c r="I102" t="str">
        <f t="shared" si="6"/>
        <v>High Discount</v>
      </c>
      <c r="J102" t="str">
        <f t="shared" si="7"/>
        <v>Low Priced Product</v>
      </c>
    </row>
    <row r="103" spans="1:11" x14ac:dyDescent="0.25">
      <c r="A103" t="s">
        <v>52</v>
      </c>
      <c r="B103" s="4">
        <v>199</v>
      </c>
      <c r="C103" s="4">
        <v>504</v>
      </c>
      <c r="D103" s="5">
        <v>0.60515873015873012</v>
      </c>
      <c r="E103">
        <v>0</v>
      </c>
      <c r="F103" s="3" t="s">
        <v>114</v>
      </c>
      <c r="G103" s="4">
        <f t="shared" si="4"/>
        <v>305</v>
      </c>
      <c r="H103" t="str">
        <f t="shared" si="5"/>
        <v>N/A</v>
      </c>
      <c r="I103" t="str">
        <f t="shared" si="6"/>
        <v>High Discount</v>
      </c>
      <c r="J103" t="str">
        <f t="shared" si="7"/>
        <v>Low Priced Product</v>
      </c>
      <c r="K103" s="2"/>
    </row>
    <row r="104" spans="1:11" x14ac:dyDescent="0.25">
      <c r="A104" t="s">
        <v>105</v>
      </c>
      <c r="B104" s="4">
        <v>198</v>
      </c>
      <c r="C104" s="4">
        <v>260</v>
      </c>
      <c r="D104" s="5">
        <v>0.23846153846153847</v>
      </c>
      <c r="E104">
        <v>0</v>
      </c>
      <c r="F104" s="3" t="s">
        <v>114</v>
      </c>
      <c r="G104" s="4">
        <f t="shared" si="4"/>
        <v>62</v>
      </c>
      <c r="H104" t="str">
        <f t="shared" si="5"/>
        <v>N/A</v>
      </c>
      <c r="I104" t="str">
        <f t="shared" si="6"/>
        <v>Medium Discount</v>
      </c>
      <c r="J104" t="str">
        <f t="shared" si="7"/>
        <v>Low Priced Product</v>
      </c>
      <c r="K104" s="2"/>
    </row>
    <row r="105" spans="1:11" x14ac:dyDescent="0.25">
      <c r="A105" t="s">
        <v>20</v>
      </c>
      <c r="B105" s="4">
        <v>195</v>
      </c>
      <c r="C105" s="4">
        <v>360</v>
      </c>
      <c r="D105" s="5">
        <v>0.45833333333333331</v>
      </c>
      <c r="E105">
        <v>2</v>
      </c>
      <c r="F105" s="3">
        <v>5</v>
      </c>
      <c r="G105" s="4">
        <f t="shared" si="4"/>
        <v>165</v>
      </c>
      <c r="H105" t="str">
        <f t="shared" si="5"/>
        <v>Excellent Rating</v>
      </c>
      <c r="I105" t="str">
        <f t="shared" si="6"/>
        <v>High Discount</v>
      </c>
      <c r="J105" t="str">
        <f t="shared" si="7"/>
        <v>Low Priced Product</v>
      </c>
      <c r="K105" s="2"/>
    </row>
    <row r="106" spans="1:11" x14ac:dyDescent="0.25">
      <c r="A106" t="s">
        <v>34</v>
      </c>
      <c r="B106" s="4">
        <v>185</v>
      </c>
      <c r="C106" s="4">
        <v>382</v>
      </c>
      <c r="D106" s="5">
        <v>0.51570680628272247</v>
      </c>
      <c r="E106">
        <v>9</v>
      </c>
      <c r="F106" s="3">
        <v>4.3</v>
      </c>
      <c r="G106" s="4">
        <f t="shared" si="4"/>
        <v>197</v>
      </c>
      <c r="H106" t="str">
        <f t="shared" si="5"/>
        <v>Average Rating</v>
      </c>
      <c r="I106" t="str">
        <f t="shared" si="6"/>
        <v>High Discount</v>
      </c>
      <c r="J106" t="str">
        <f t="shared" si="7"/>
        <v>Low Priced Product</v>
      </c>
      <c r="K106" s="2"/>
    </row>
    <row r="107" spans="1:11" x14ac:dyDescent="0.25">
      <c r="A107" t="s">
        <v>40</v>
      </c>
      <c r="B107" s="4">
        <v>171</v>
      </c>
      <c r="C107" s="4">
        <v>360</v>
      </c>
      <c r="D107" s="5">
        <v>0.52500000000000002</v>
      </c>
      <c r="E107">
        <v>2</v>
      </c>
      <c r="F107" s="3">
        <v>5</v>
      </c>
      <c r="G107" s="4">
        <f t="shared" si="4"/>
        <v>189</v>
      </c>
      <c r="H107" t="str">
        <f t="shared" si="5"/>
        <v>Excellent Rating</v>
      </c>
      <c r="I107" t="str">
        <f t="shared" si="6"/>
        <v>High Discount</v>
      </c>
      <c r="J107" t="str">
        <f t="shared" si="7"/>
        <v>Low Priced Product</v>
      </c>
      <c r="K107" s="2"/>
    </row>
    <row r="108" spans="1:11" x14ac:dyDescent="0.25">
      <c r="A108" t="s">
        <v>112</v>
      </c>
      <c r="B108" s="4">
        <v>169</v>
      </c>
      <c r="C108" s="4">
        <v>320</v>
      </c>
      <c r="D108" s="5">
        <v>0.47187499999999999</v>
      </c>
      <c r="E108">
        <v>0</v>
      </c>
      <c r="F108" s="3" t="s">
        <v>114</v>
      </c>
      <c r="G108" s="4">
        <f t="shared" si="4"/>
        <v>151</v>
      </c>
      <c r="H108" t="str">
        <f t="shared" si="5"/>
        <v>N/A</v>
      </c>
      <c r="I108" t="str">
        <f t="shared" si="6"/>
        <v>High Discount</v>
      </c>
      <c r="J108" t="str">
        <f t="shared" si="7"/>
        <v>Low Priced Product</v>
      </c>
      <c r="K108" s="2"/>
    </row>
    <row r="109" spans="1:11" x14ac:dyDescent="0.25">
      <c r="A109" t="s">
        <v>93</v>
      </c>
      <c r="B109" s="4">
        <v>105</v>
      </c>
      <c r="C109" s="4">
        <v>200</v>
      </c>
      <c r="D109" s="5">
        <v>0.47499999999999998</v>
      </c>
      <c r="E109">
        <v>0</v>
      </c>
      <c r="F109" s="3" t="s">
        <v>114</v>
      </c>
      <c r="G109" s="4">
        <f t="shared" si="4"/>
        <v>95</v>
      </c>
      <c r="H109" t="str">
        <f t="shared" si="5"/>
        <v>N/A</v>
      </c>
      <c r="I109" t="str">
        <f t="shared" si="6"/>
        <v>High Discount</v>
      </c>
      <c r="J109" t="str">
        <f t="shared" si="7"/>
        <v>Low Priced Product</v>
      </c>
    </row>
    <row r="110" spans="1:11" x14ac:dyDescent="0.25">
      <c r="A110" t="s">
        <v>24</v>
      </c>
      <c r="B110" s="4">
        <v>38</v>
      </c>
      <c r="C110" s="4">
        <v>80</v>
      </c>
      <c r="D110" s="5">
        <v>0.52500000000000002</v>
      </c>
      <c r="E110">
        <v>13</v>
      </c>
      <c r="F110" s="3">
        <v>3.3</v>
      </c>
      <c r="G110" s="4">
        <f t="shared" si="4"/>
        <v>42</v>
      </c>
      <c r="H110" t="str">
        <f t="shared" si="5"/>
        <v>Average Rating</v>
      </c>
      <c r="I110" t="str">
        <f t="shared" si="6"/>
        <v>High Discount</v>
      </c>
      <c r="J110" t="str">
        <f t="shared" si="7"/>
        <v>Low Priced Product</v>
      </c>
      <c r="K110" s="2"/>
    </row>
    <row r="113" spans="2:3" x14ac:dyDescent="0.25">
      <c r="B113" s="4"/>
      <c r="C113" s="4"/>
    </row>
  </sheetData>
  <autoFilter ref="A1:F110" xr:uid="{00000000-0009-0000-0000-00000D000000}">
    <sortState ref="A2:F110">
      <sortCondition descending="1" ref="B1:B110"/>
    </sortState>
  </autoFilter>
  <conditionalFormatting sqref="A1:A1048576">
    <cfRule type="duplicateValues" dxfId="48" priority="2"/>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abSelected="1" zoomScale="85" zoomScaleNormal="85" workbookViewId="0">
      <selection activeCell="AH15" sqref="AH15"/>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Average</vt:lpstr>
      <vt:lpstr>Av rating &amp; disc by disc categr</vt:lpstr>
      <vt:lpstr>Product distribution</vt:lpstr>
      <vt:lpstr>disc pct &amp; no. of reviews</vt:lpstr>
      <vt:lpstr>Rating &amp; no. of reviews</vt:lpstr>
      <vt:lpstr>higher disc lead to increased</vt:lpstr>
      <vt:lpstr>Higher rated products tend to h</vt:lpstr>
      <vt:lpstr>By rating</vt:lpstr>
      <vt:lpstr>By no. of reviews</vt:lpstr>
      <vt:lpstr>By discount percentage</vt:lpstr>
      <vt:lpstr>By rating category</vt:lpstr>
      <vt:lpstr>By discount category</vt:lpstr>
      <vt:lpstr>Sheet26</vt:lpstr>
      <vt:lpstr>Excel_jumia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Kinywa</dc:creator>
  <cp:lastModifiedBy>USER</cp:lastModifiedBy>
  <dcterms:created xsi:type="dcterms:W3CDTF">2026-01-26T07:40:42Z</dcterms:created>
  <dcterms:modified xsi:type="dcterms:W3CDTF">2026-01-27T15:37:20Z</dcterms:modified>
</cp:coreProperties>
</file>